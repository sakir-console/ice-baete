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er" sheetId="1" r:id="rId1"/>
    <sheet name="Summary" sheetId="2" r:id="rId2"/>
  </sheets>
  <definedNames>
    <definedName name="_xlnm.Print_Titles" localSheetId="0">Register!$8:$8</definedName>
  </definedNames>
  <calcPr calcId="124519" fullCalcOnLoad="1"/>
</workbook>
</file>

<file path=xl/sharedStrings.xml><?xml version="1.0" encoding="utf-8"?>
<sst xmlns="http://schemas.openxmlformats.org/spreadsheetml/2006/main" count="48" uniqueCount="45">
  <si>
    <t>Daffodil International University</t>
  </si>
  <si>
    <t>Faculty of Engineering</t>
  </si>
  <si>
    <t>Department of Information and Communication Engineering</t>
  </si>
  <si>
    <t>Final-Year Design Projects - Spring 2023 to Fall 2025 (SAR 6.3 format)</t>
  </si>
  <si>
    <t>Fill from registration and result records, semester by semester. The two filled rows come from the reports in the annex folder (10.5\Reports). 'Industry involvement' must be backed by a letter or signed sheet.</t>
  </si>
  <si>
    <t>Semester</t>
  </si>
  <si>
    <t>Group no.</t>
  </si>
  <si>
    <t>Project title</t>
  </si>
  <si>
    <t>Supervisor(s)</t>
  </si>
  <si>
    <t>Industry co-supervisor</t>
  </si>
  <si>
    <t>Student names</t>
  </si>
  <si>
    <t>Student IDs</t>
  </si>
  <si>
    <t>Industry involvement</t>
  </si>
  <si>
    <t>Industry partner</t>
  </si>
  <si>
    <t>Original report location</t>
  </si>
  <si>
    <t>Annex ID</t>
  </si>
  <si>
    <t>Notes</t>
  </si>
  <si>
    <t>Fall 2025</t>
  </si>
  <si>
    <t>AI- Powered Medical Assistant (Medi Chatbot)</t>
  </si>
  <si>
    <t>Md Azizul Hakim, Lecturer</t>
  </si>
  <si>
    <t>Aishi Biswash; Fujilatunnesa Chowdhury; Md Al Mustakim</t>
  </si>
  <si>
    <t>221-50-094; 221-50-097; 221-50-099</t>
  </si>
  <si>
    <t>Assessment</t>
  </si>
  <si>
    <t>Live Technologies Ltd. (external member listed)</t>
  </si>
  <si>
    <t>A10.4.2-03</t>
  </si>
  <si>
    <t>Report dated December 2025. Approval page lists Md Meskatur Rahman (AGM, Live Technologies) as External Member but is unsigned in the Word file - find the signed copy.</t>
  </si>
  <si>
    <t>An AI-Powered multi-agent Research Assistant for Academic Writing, Citation, and Literature Review Automation</t>
  </si>
  <si>
    <t>Md. Azizul Hakim, Lecturer</t>
  </si>
  <si>
    <t>Reduan Islam Sajid; Mahir Diyan Ariyan; Mijanur Rahman Rifat</t>
  </si>
  <si>
    <t>221-50-090; 221-50-098; 221-50-087</t>
  </si>
  <si>
    <t>None</t>
  </si>
  <si>
    <t>A10.4.2-04</t>
  </si>
  <si>
    <t>Report dated January 2026 - confirm semester. External examiner is academic (WUB).</t>
  </si>
  <si>
    <t>Summary per semester (formulas)</t>
  </si>
  <si>
    <t>Projects</t>
  </si>
  <si>
    <t>With industry involvement</t>
  </si>
  <si>
    <t>Spring 2023</t>
  </si>
  <si>
    <t>Summer 2023</t>
  </si>
  <si>
    <t>Fall 2023</t>
  </si>
  <si>
    <t>Spring 2024</t>
  </si>
  <si>
    <t>Summer 2024</t>
  </si>
  <si>
    <t>Fall 2024</t>
  </si>
  <si>
    <t>Spring 2025</t>
  </si>
  <si>
    <t>Summer 2025</t>
  </si>
  <si>
    <t>Outside window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</si>
</sst>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Times New Roman"/>
      <family val="2"/>
    </font>
    <font>
      <b/>
      <sz val="13"/>
      <color theme="1"/>
      <name val="Times New Roman"/>
      <family val="2"/>
    </font>
    <font>
      <b/>
      <u/>
      <sz val="13"/>
      <color theme="1"/>
      <name val="Times New Roman"/>
      <family val="2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1419225</xdr:colOff>
      <xdr:row>0</xdr:row>
      <xdr:rowOff>38100</xdr:rowOff>
    </xdr:from>
    <xdr:to>
      <xdr:col>5</xdr:col>
      <xdr:colOff>2075307</xdr:colOff>
      <xdr:row>0</xdr:row>
      <xdr:rowOff>682181</xdr:rowOff>
    </xdr:to>
    <xdr:pic>
      <xdr:nvPicPr>
        <xdr:cNvPr id="2" name="Picture 1" descr="diu_shiel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38100"/>
          <a:ext cx="656082" cy="6440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Register" displayName="tblRegister" ref="A8:L90" totalsRowShown="0">
  <autoFilter ref="A8:L90"/>
  <tableColumns count="12">
    <tableColumn id="1" name="Semester" dataDxfId="0"/>
    <tableColumn id="2" name="Group no." dataDxfId="0"/>
    <tableColumn id="3" name="Project title" dataDxfId="0"/>
    <tableColumn id="4" name="Supervisor(s)" dataDxfId="0"/>
    <tableColumn id="5" name="Industry co-supervisor" dataDxfId="0"/>
    <tableColumn id="6" name="Student names" dataDxfId="0"/>
    <tableColumn id="7" name="Student IDs" dataDxfId="0"/>
    <tableColumn id="8" name="Industry involvement" dataDxfId="0"/>
    <tableColumn id="9" name="Industry partner" dataDxfId="0"/>
    <tableColumn id="10" name="Original report location" dataDxfId="0"/>
    <tableColumn id="11" name="Annex ID" dataDxfId="0"/>
    <tableColumn id="12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0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5"/>
  <cols>
    <col min="1" max="1" width="12.7109375" customWidth="1"/>
    <col min="2" max="2" width="8.7109375" customWidth="1"/>
    <col min="3" max="3" width="40.7109375" customWidth="1"/>
    <col min="4" max="4" width="22.7109375" customWidth="1"/>
    <col min="5" max="5" width="20.7109375" customWidth="1"/>
    <col min="6" max="6" width="34.7109375" customWidth="1"/>
    <col min="7" max="7" width="22.7109375" customWidth="1"/>
    <col min="8" max="8" width="16.7109375" customWidth="1"/>
    <col min="9" max="10" width="18.7109375" customWidth="1"/>
    <col min="11" max="11" width="11.7109375" customWidth="1"/>
    <col min="12" max="12" width="34.7109375" customWidth="1"/>
  </cols>
  <sheetData>
    <row r="1" spans="1:12" ht="56" customHeight="1"/>
    <row r="2" spans="1:1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46" customHeight="1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8" spans="1:12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</row>
    <row r="9" spans="1:12">
      <c r="A9" s="6" t="s">
        <v>17</v>
      </c>
      <c r="B9" s="6"/>
      <c r="C9" s="6" t="s">
        <v>18</v>
      </c>
      <c r="D9" s="6" t="s">
        <v>19</v>
      </c>
      <c r="E9" s="6"/>
      <c r="F9" s="6" t="s">
        <v>20</v>
      </c>
      <c r="G9" s="6" t="s">
        <v>21</v>
      </c>
      <c r="H9" s="6" t="s">
        <v>22</v>
      </c>
      <c r="I9" s="6" t="s">
        <v>23</v>
      </c>
      <c r="J9" s="6"/>
      <c r="K9" s="6" t="s">
        <v>24</v>
      </c>
      <c r="L9" s="6" t="s">
        <v>25</v>
      </c>
    </row>
    <row r="10" spans="1:12">
      <c r="A10" s="6" t="s">
        <v>17</v>
      </c>
      <c r="B10" s="6"/>
      <c r="C10" s="6" t="s">
        <v>26</v>
      </c>
      <c r="D10" s="6" t="s">
        <v>27</v>
      </c>
      <c r="E10" s="6"/>
      <c r="F10" s="6" t="s">
        <v>28</v>
      </c>
      <c r="G10" s="6" t="s">
        <v>29</v>
      </c>
      <c r="H10" s="6" t="s">
        <v>30</v>
      </c>
      <c r="I10" s="6"/>
      <c r="J10" s="6"/>
      <c r="K10" s="6" t="s">
        <v>31</v>
      </c>
      <c r="L10" s="6" t="s">
        <v>32</v>
      </c>
    </row>
    <row r="11" spans="1:1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</sheetData>
  <mergeCells count="5">
    <mergeCell ref="A2:L2"/>
    <mergeCell ref="A3:L3"/>
    <mergeCell ref="A4:L4"/>
    <mergeCell ref="A5:L5"/>
    <mergeCell ref="A6:J6"/>
  </mergeCells>
  <dataValidations count="2">
    <dataValidation type="list" errorStyle="warning" allowBlank="1" showInputMessage="1" showErrorMessage="1" sqref="A9:A90">
      <formula1>"Spring 2023,Summer 2023,Fall 2023,Spring 2024,Summer 2024,Fall 2024,Spring 2025,Summer 2025,Fall 2025,Outside window"</formula1>
    </dataValidation>
    <dataValidation type="list" errorStyle="warning" allowBlank="1" showInputMessage="1" showErrorMessage="1" sqref="H9:H90">
      <formula1>"None,Topic,Supervision,Assessment,More than one"</formula1>
    </dataValidation>
  </dataValidations>
  <pageMargins left="0.7" right="0.7" top="0.6" bottom="0.75" header="0.3" footer="0.3"/>
  <pageSetup paperSize="9" fitToHeight="0" orientation="landscape"/>
  <headerFooter>
    <oddFooter>&amp;C&amp;8Page &amp;P of &amp;N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16.7109375" customWidth="1"/>
    <col min="2" max="3" width="18.7109375" customWidth="1"/>
  </cols>
  <sheetData>
    <row r="1" spans="1:3">
      <c r="A1" s="7" t="s">
        <v>33</v>
      </c>
    </row>
    <row r="3" spans="1:3">
      <c r="A3" s="5" t="s">
        <v>5</v>
      </c>
      <c r="B3" s="5" t="s">
        <v>34</v>
      </c>
      <c r="C3" s="5" t="s">
        <v>35</v>
      </c>
    </row>
    <row r="4" spans="1:3">
      <c r="A4" t="s">
        <v>36</v>
      </c>
      <c r="B4">
        <f>COUNTIFS(tblRegister[Semester],$A4,tblRegister[Project title],"&lt;&gt;")</f>
        <v>0</v>
      </c>
      <c r="C4">
        <f>COUNTIFS(tblRegister[Semester],$A4,tblRegister[Industry involvement],"&lt;&gt;None",tblRegister[Industry involvement],"&lt;&gt;")</f>
        <v>0</v>
      </c>
    </row>
    <row r="5" spans="1:3">
      <c r="A5" t="s">
        <v>37</v>
      </c>
      <c r="B5">
        <f>COUNTIFS(tblRegister[Semester],$A5,tblRegister[Project title],"&lt;&gt;")</f>
        <v>0</v>
      </c>
      <c r="C5">
        <f>COUNTIFS(tblRegister[Semester],$A5,tblRegister[Industry involvement],"&lt;&gt;None",tblRegister[Industry involvement],"&lt;&gt;")</f>
        <v>0</v>
      </c>
    </row>
    <row r="6" spans="1:3">
      <c r="A6" t="s">
        <v>38</v>
      </c>
      <c r="B6">
        <f>COUNTIFS(tblRegister[Semester],$A6,tblRegister[Project title],"&lt;&gt;")</f>
        <v>0</v>
      </c>
      <c r="C6">
        <f>COUNTIFS(tblRegister[Semester],$A6,tblRegister[Industry involvement],"&lt;&gt;None",tblRegister[Industry involvement],"&lt;&gt;")</f>
        <v>0</v>
      </c>
    </row>
    <row r="7" spans="1:3">
      <c r="A7" t="s">
        <v>39</v>
      </c>
      <c r="B7">
        <f>COUNTIFS(tblRegister[Semester],$A7,tblRegister[Project title],"&lt;&gt;")</f>
        <v>0</v>
      </c>
      <c r="C7">
        <f>COUNTIFS(tblRegister[Semester],$A7,tblRegister[Industry involvement],"&lt;&gt;None",tblRegister[Industry involvement],"&lt;&gt;")</f>
        <v>0</v>
      </c>
    </row>
    <row r="8" spans="1:3">
      <c r="A8" t="s">
        <v>40</v>
      </c>
      <c r="B8">
        <f>COUNTIFS(tblRegister[Semester],$A8,tblRegister[Project title],"&lt;&gt;")</f>
        <v>0</v>
      </c>
      <c r="C8">
        <f>COUNTIFS(tblRegister[Semester],$A8,tblRegister[Industry involvement],"&lt;&gt;None",tblRegister[Industry involvement],"&lt;&gt;")</f>
        <v>0</v>
      </c>
    </row>
    <row r="9" spans="1:3">
      <c r="A9" t="s">
        <v>41</v>
      </c>
      <c r="B9">
        <f>COUNTIFS(tblRegister[Semester],$A9,tblRegister[Project title],"&lt;&gt;")</f>
        <v>0</v>
      </c>
      <c r="C9">
        <f>COUNTIFS(tblRegister[Semester],$A9,tblRegister[Industry involvement],"&lt;&gt;None",tblRegister[Industry involvement],"&lt;&gt;")</f>
        <v>0</v>
      </c>
    </row>
    <row r="10" spans="1:3">
      <c r="A10" t="s">
        <v>42</v>
      </c>
      <c r="B10">
        <f>COUNTIFS(tblRegister[Semester],$A10,tblRegister[Project title],"&lt;&gt;")</f>
        <v>0</v>
      </c>
      <c r="C10">
        <f>COUNTIFS(tblRegister[Semester],$A10,tblRegister[Industry involvement],"&lt;&gt;None",tblRegister[Industry involvement],"&lt;&gt;")</f>
        <v>0</v>
      </c>
    </row>
    <row r="11" spans="1:3">
      <c r="A11" t="s">
        <v>43</v>
      </c>
      <c r="B11">
        <f>COUNTIFS(tblRegister[Semester],$A11,tblRegister[Project title],"&lt;&gt;")</f>
        <v>0</v>
      </c>
      <c r="C11">
        <f>COUNTIFS(tblRegister[Semester],$A11,tblRegister[Industry involvement],"&lt;&gt;None",tblRegister[Industry involvement],"&lt;&gt;")</f>
        <v>0</v>
      </c>
    </row>
    <row r="12" spans="1:3">
      <c r="A12" t="s">
        <v>17</v>
      </c>
      <c r="B12">
        <f>COUNTIFS(tblRegister[Semester],$A12,tblRegister[Project title],"&lt;&gt;")</f>
        <v>0</v>
      </c>
      <c r="C12">
        <f>COUNTIFS(tblRegister[Semester],$A12,tblRegister[Industry involvement],"&lt;&gt;None",tblRegister[Industry involvement],"&lt;&gt;")</f>
        <v>0</v>
      </c>
    </row>
    <row r="13" spans="1:3">
      <c r="A13" t="s">
        <v>44</v>
      </c>
      <c r="B13">
        <f>COUNTIFS(tblRegister[Semester],$A13,tblRegister[Project title],"&lt;&gt;")</f>
        <v>0</v>
      </c>
      <c r="C13">
        <f>COUNTIFS(tblRegister[Semester],$A13,tblRegister[Industry involvement],"&lt;&gt;None",tblRegister[Industry involvement],"&lt;&gt;")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Register</vt:lpstr>
      <vt:lpstr>Summary</vt:lpstr>
      <vt:lpstr>Register!Print_Titles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2026-10-11T19:10:59Z</dcterms:created>
  <dcterms:modified xsi:type="dcterms:W3CDTF">2026-10-11T19:10:59Z</dcterms:modified>
</cp:coreProperties>
</file>