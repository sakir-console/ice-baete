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Attainment" sheetId="2" state="visible" r:id="rId2"/>
  </sheets>
  <definedNames>
    <definedName name="_xlnm.Print_Titles" localSheetId="0">'Marks'!$8:$8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13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color rgb="001F3864"/>
      <sz val="14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9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95300" cy="485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VisitMarks" displayName="tblVisitMarks" ref="A8:Q68" headerRowCount="1">
  <autoFilter ref="A8:Q68"/>
  <tableColumns count="17">
    <tableColumn id="1" name="SL"/>
    <tableColumn id="2" name="Semester"/>
    <tableColumn id="3" name="Visit date"/>
    <tableColumn id="4" name="Company"/>
    <tableColumn id="5" name="Course code"/>
    <tableColumn id="6" name="Faculty in charge"/>
    <tableColumn id="7" name="Student name"/>
    <tableColumn id="8" name="ID"/>
    <tableColumn id="9" name="Technical (5)"/>
    <tableColumn id="10" name="Link to coursework (4)"/>
    <tableColumn id="11" name="Society / safety (3)"/>
    <tableColumn id="12" name="Report (4)"/>
    <tableColumn id="13" name="Viva / quiz (4)"/>
    <tableColumn id="14" name="Total (20)"/>
    <tableColumn id="15" name="Assessed by"/>
    <tableColumn id="16" name="Date marked"/>
    <tableColumn id="17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68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0" customWidth="1" min="4" max="4"/>
    <col width="10" customWidth="1" min="5" max="5"/>
    <col width="20" customWidth="1" min="6" max="6"/>
    <col width="24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9" customWidth="1" min="14" max="14"/>
    <col width="18" customWidth="1" min="15" max="15"/>
    <col width="11" customWidth="1" min="16" max="16"/>
    <col width="36" customWidth="1" min="17" max="17"/>
  </cols>
  <sheetData>
    <row r="1" ht="56" customHeight="1"/>
    <row r="2">
      <c r="A2" s="1" t="inlineStr">
        <is>
          <t>Daffodil International University</t>
        </is>
      </c>
    </row>
    <row r="3">
      <c r="A3" s="2" t="inlineStr">
        <is>
          <t>Faculty of Engineering</t>
        </is>
      </c>
    </row>
    <row r="4">
      <c r="A4" s="2" t="inlineStr">
        <is>
          <t>Department of Information and Communication Engineering</t>
        </is>
      </c>
    </row>
    <row r="5">
      <c r="A5" s="2" t="inlineStr">
        <is>
          <t>Industry Visits - Assessment Mark Sheet and Outcome Attainment</t>
        </is>
      </c>
    </row>
    <row r="6" ht="46" customHeight="1">
      <c r="A6" s="3" t="inlineStr">
        <is>
          <t>One row per student per visit. Marks use the approved rubric in 10.4.3-04 and are entered by the faculty member who assessed the report, with the actual date of marking. Each visit must also appear in the visit register 10.4.3-05.</t>
        </is>
      </c>
    </row>
    <row r="8">
      <c r="A8" s="4" t="inlineStr">
        <is>
          <t>SL</t>
        </is>
      </c>
      <c r="B8" s="4" t="inlineStr">
        <is>
          <t>Semester</t>
        </is>
      </c>
      <c r="C8" s="4" t="inlineStr">
        <is>
          <t>Visit date</t>
        </is>
      </c>
      <c r="D8" s="4" t="inlineStr">
        <is>
          <t>Company</t>
        </is>
      </c>
      <c r="E8" s="4" t="inlineStr">
        <is>
          <t>Course code</t>
        </is>
      </c>
      <c r="F8" s="4" t="inlineStr">
        <is>
          <t>Faculty in charge</t>
        </is>
      </c>
      <c r="G8" s="4" t="inlineStr">
        <is>
          <t>Student name</t>
        </is>
      </c>
      <c r="H8" s="4" t="inlineStr">
        <is>
          <t>ID</t>
        </is>
      </c>
      <c r="I8" s="4" t="inlineStr">
        <is>
          <t>Technical (5)</t>
        </is>
      </c>
      <c r="J8" s="4" t="inlineStr">
        <is>
          <t>Link to coursework (4)</t>
        </is>
      </c>
      <c r="K8" s="4" t="inlineStr">
        <is>
          <t>Society / safety (3)</t>
        </is>
      </c>
      <c r="L8" s="4" t="inlineStr">
        <is>
          <t>Report (4)</t>
        </is>
      </c>
      <c r="M8" s="4" t="inlineStr">
        <is>
          <t>Viva / quiz (4)</t>
        </is>
      </c>
      <c r="N8" s="4" t="inlineStr">
        <is>
          <t>Total (20)</t>
        </is>
      </c>
      <c r="O8" s="4" t="inlineStr">
        <is>
          <t>Assessed by</t>
        </is>
      </c>
      <c r="P8" s="4" t="inlineStr">
        <is>
          <t>Date marked</t>
        </is>
      </c>
      <c r="Q8" s="4" t="inlineStr">
        <is>
          <t>Notes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>
        <f>IF(COUNT(I9:M9)=0,"",SUM(I9:M9))</f>
        <v/>
      </c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>
        <f>IF(COUNT(I10:M10)=0,"",SUM(I10:M10))</f>
        <v/>
      </c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>
        <f>IF(COUNT(I11:M11)=0,"",SUM(I11:M11))</f>
        <v/>
      </c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>
        <f>IF(COUNT(I12:M12)=0,"",SUM(I12:M12))</f>
        <v/>
      </c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>
        <f>IF(COUNT(I13:M13)=0,"",SUM(I13:M13))</f>
        <v/>
      </c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>
        <f>IF(COUNT(I14:M14)=0,"",SUM(I14:M14))</f>
        <v/>
      </c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>
        <f>IF(COUNT(I15:M15)=0,"",SUM(I15:M15))</f>
        <v/>
      </c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>
        <f>IF(COUNT(I16:M16)=0,"",SUM(I16:M16))</f>
        <v/>
      </c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>
        <f>IF(COUNT(I17:M17)=0,"",SUM(I17:M17))</f>
        <v/>
      </c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>
        <f>IF(COUNT(I18:M18)=0,"",SUM(I18:M18))</f>
        <v/>
      </c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>
        <f>IF(COUNT(I19:M19)=0,"",SUM(I19:M19))</f>
        <v/>
      </c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>
        <f>IF(COUNT(I20:M20)=0,"",SUM(I20:M20))</f>
        <v/>
      </c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>
        <f>IF(COUNT(I21:M21)=0,"",SUM(I21:M21))</f>
        <v/>
      </c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>
        <f>IF(COUNT(I22:M22)=0,"",SUM(I22:M22))</f>
        <v/>
      </c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>
        <f>IF(COUNT(I23:M23)=0,"",SUM(I23:M23))</f>
        <v/>
      </c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>
        <f>IF(COUNT(I24:M24)=0,"",SUM(I24:M24))</f>
        <v/>
      </c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>
        <f>IF(COUNT(I25:M25)=0,"",SUM(I25:M25))</f>
        <v/>
      </c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>
        <f>IF(COUNT(I26:M26)=0,"",SUM(I26:M26))</f>
        <v/>
      </c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>
        <f>IF(COUNT(I27:M27)=0,"",SUM(I27:M27))</f>
        <v/>
      </c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>
        <f>IF(COUNT(I28:M28)=0,"",SUM(I28:M28))</f>
        <v/>
      </c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>
        <f>IF(COUNT(I29:M29)=0,"",SUM(I29:M29))</f>
        <v/>
      </c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>
        <f>IF(COUNT(I30:M30)=0,"",SUM(I30:M30))</f>
        <v/>
      </c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>
        <f>IF(COUNT(I31:M31)=0,"",SUM(I31:M31))</f>
        <v/>
      </c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>
        <f>IF(COUNT(I32:M32)=0,"",SUM(I32:M32))</f>
        <v/>
      </c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>
        <f>IF(COUNT(I33:M33)=0,"",SUM(I33:M33))</f>
        <v/>
      </c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>
        <f>IF(COUNT(I34:M34)=0,"",SUM(I34:M34))</f>
        <v/>
      </c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>
        <f>IF(COUNT(I35:M35)=0,"",SUM(I35:M35))</f>
        <v/>
      </c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>
        <f>IF(COUNT(I36:M36)=0,"",SUM(I36:M36))</f>
        <v/>
      </c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>
        <f>IF(COUNT(I37:M37)=0,"",SUM(I37:M37))</f>
        <v/>
      </c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>
        <f>IF(COUNT(I38:M38)=0,"",SUM(I38:M38))</f>
        <v/>
      </c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>
        <f>IF(COUNT(I39:M39)=0,"",SUM(I39:M39))</f>
        <v/>
      </c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>
        <f>IF(COUNT(I40:M40)=0,"",SUM(I40:M40))</f>
        <v/>
      </c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>
        <f>IF(COUNT(I41:M41)=0,"",SUM(I41:M41))</f>
        <v/>
      </c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>
        <f>IF(COUNT(I42:M42)=0,"",SUM(I42:M42))</f>
        <v/>
      </c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>
        <f>IF(COUNT(I43:M43)=0,"",SUM(I43:M43))</f>
        <v/>
      </c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>
        <f>IF(COUNT(I44:M44)=0,"",SUM(I44:M44))</f>
        <v/>
      </c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>
        <f>IF(COUNT(I45:M45)=0,"",SUM(I45:M45))</f>
        <v/>
      </c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>
        <f>IF(COUNT(I46:M46)=0,"",SUM(I46:M46))</f>
        <v/>
      </c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>
        <f>IF(COUNT(I47:M47)=0,"",SUM(I47:M47))</f>
        <v/>
      </c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>
        <f>IF(COUNT(I48:M48)=0,"",SUM(I48:M48))</f>
        <v/>
      </c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>
        <f>IF(COUNT(I49:M49)=0,"",SUM(I49:M49))</f>
        <v/>
      </c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>
        <f>IF(COUNT(I50:M50)=0,"",SUM(I50:M50))</f>
        <v/>
      </c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>
        <f>IF(COUNT(I51:M51)=0,"",SUM(I51:M51))</f>
        <v/>
      </c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>
        <f>IF(COUNT(I52:M52)=0,"",SUM(I52:M52))</f>
        <v/>
      </c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>
        <f>IF(COUNT(I53:M53)=0,"",SUM(I53:M53))</f>
        <v/>
      </c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>
        <f>IF(COUNT(I54:M54)=0,"",SUM(I54:M54))</f>
        <v/>
      </c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>
        <f>IF(COUNT(I55:M55)=0,"",SUM(I55:M55))</f>
        <v/>
      </c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>
        <f>IF(COUNT(I56:M56)=0,"",SUM(I56:M56))</f>
        <v/>
      </c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>
        <f>IF(COUNT(I57:M57)=0,"",SUM(I57:M57))</f>
        <v/>
      </c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>
        <f>IF(COUNT(I58:M58)=0,"",SUM(I58:M58))</f>
        <v/>
      </c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>
        <f>IF(COUNT(I59:M59)=0,"",SUM(I59:M59))</f>
        <v/>
      </c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>
        <f>IF(COUNT(I60:M60)=0,"",SUM(I60:M60))</f>
        <v/>
      </c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>
        <f>IF(COUNT(I61:M61)=0,"",SUM(I61:M61))</f>
        <v/>
      </c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>
        <f>IF(COUNT(I62:M62)=0,"",SUM(I62:M62))</f>
        <v/>
      </c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>
        <f>IF(COUNT(I63:M63)=0,"",SUM(I63:M63))</f>
        <v/>
      </c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>
        <f>IF(COUNT(I64:M64)=0,"",SUM(I64:M64))</f>
        <v/>
      </c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>
        <f>IF(COUNT(I65:M65)=0,"",SUM(I65:M65))</f>
        <v/>
      </c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>
        <f>IF(COUNT(I66:M66)=0,"",SUM(I66:M66))</f>
        <v/>
      </c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>
        <f>IF(COUNT(I67:M67)=0,"",SUM(I67:M67))</f>
        <v/>
      </c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>
        <f>IF(COUNT(I68:M68)=0,"",SUM(I68:M68))</f>
        <v/>
      </c>
      <c r="O68" s="5" t="n"/>
      <c r="P68" s="5" t="n"/>
      <c r="Q68" s="5" t="n"/>
    </row>
  </sheetData>
  <mergeCells count="5">
    <mergeCell ref="A6:Q6"/>
    <mergeCell ref="A3:Q3"/>
    <mergeCell ref="A4:Q4"/>
    <mergeCell ref="A2:Q2"/>
    <mergeCell ref="A5:Q5"/>
  </mergeCells>
  <dataValidations count="1">
    <dataValidation sqref="B9:B68" showDropDown="0" showInputMessage="0" showErrorMessage="0" allowBlank="1" type="list" errorStyle="warning">
      <formula1>"Spring 2023,Summer 2023,Fall 2023,Spring 2024,Summer 2024,Fall 2024,Spring 2025,Summer 2025,Fall 2025,Outside window"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1" customWidth="1" min="5" max="5"/>
    <col width="16" customWidth="1" min="6" max="6"/>
    <col width="13" customWidth="1" min="7" max="7"/>
  </cols>
  <sheetData>
    <row r="1">
      <c r="A1" s="6" t="inlineStr">
        <is>
          <t>Criterion and PO attainment (formulas; threshold proposed: 60% of the criterion marks)</t>
        </is>
      </c>
    </row>
    <row r="2">
      <c r="A2" t="inlineStr">
        <is>
          <t>Threshold</t>
        </is>
      </c>
      <c r="B2" s="7" t="n">
        <v>0.6</v>
      </c>
    </row>
    <row r="3">
      <c r="A3" s="4" t="inlineStr">
        <is>
          <t>Criterion</t>
        </is>
      </c>
      <c r="B3" s="4" t="inlineStr">
        <is>
          <t>Max marks</t>
        </is>
      </c>
      <c r="C3" s="4" t="inlineStr">
        <is>
          <t>PO [proposed]</t>
        </is>
      </c>
      <c r="D3" s="4" t="inlineStr">
        <is>
          <t>Students assessed</t>
        </is>
      </c>
      <c r="E3" s="4" t="inlineStr">
        <is>
          <t>Average %</t>
        </is>
      </c>
      <c r="F3" s="4" t="inlineStr">
        <is>
          <t>Students at or above threshold</t>
        </is>
      </c>
      <c r="G3" s="4" t="inlineStr">
        <is>
          <t>Attainment %</t>
        </is>
      </c>
    </row>
    <row r="4">
      <c r="A4" t="inlineStr">
        <is>
          <t>Technical (5)</t>
        </is>
      </c>
      <c r="B4" t="n">
        <v>5</v>
      </c>
      <c r="C4" t="inlineStr">
        <is>
          <t>a, e</t>
        </is>
      </c>
      <c r="D4">
        <f>COUNT(Marks!I$9:I$68)</f>
        <v/>
      </c>
      <c r="E4" s="7">
        <f>IFERROR(AVERAGE(Marks!I$9:I$68)/B4,"")</f>
        <v/>
      </c>
      <c r="F4">
        <f>COUNTIF(Marks!I$9:I$68,"&gt;="&amp;$B$2*B4)</f>
        <v/>
      </c>
      <c r="G4" s="7">
        <f>IFERROR(F4/D4,"")</f>
        <v/>
      </c>
    </row>
    <row r="5">
      <c r="A5" t="inlineStr">
        <is>
          <t>Link to coursework (4)</t>
        </is>
      </c>
      <c r="B5" t="n">
        <v>4</v>
      </c>
      <c r="C5" t="inlineStr">
        <is>
          <t>b</t>
        </is>
      </c>
      <c r="D5">
        <f>COUNT(Marks!J$9:J$68)</f>
        <v/>
      </c>
      <c r="E5" s="7">
        <f>IFERROR(AVERAGE(Marks!J$9:J$68)/B5,"")</f>
        <v/>
      </c>
      <c r="F5">
        <f>COUNTIF(Marks!J$9:J$68,"&gt;="&amp;$B$2*B5)</f>
        <v/>
      </c>
      <c r="G5" s="7">
        <f>IFERROR(F5/D5,"")</f>
        <v/>
      </c>
    </row>
    <row r="6">
      <c r="A6" t="inlineStr">
        <is>
          <t>Society / safety (3)</t>
        </is>
      </c>
      <c r="B6" t="n">
        <v>3</v>
      </c>
      <c r="C6" t="inlineStr">
        <is>
          <t>f, g</t>
        </is>
      </c>
      <c r="D6">
        <f>COUNT(Marks!K$9:K$68)</f>
        <v/>
      </c>
      <c r="E6" s="7">
        <f>IFERROR(AVERAGE(Marks!K$9:K$68)/B6,"")</f>
        <v/>
      </c>
      <c r="F6">
        <f>COUNTIF(Marks!K$9:K$68,"&gt;="&amp;$B$2*B6)</f>
        <v/>
      </c>
      <c r="G6" s="7">
        <f>IFERROR(F6/D6,"")</f>
        <v/>
      </c>
    </row>
    <row r="7">
      <c r="A7" t="inlineStr">
        <is>
          <t>Report (4)</t>
        </is>
      </c>
      <c r="B7" t="n">
        <v>4</v>
      </c>
      <c r="C7" t="inlineStr">
        <is>
          <t>j</t>
        </is>
      </c>
      <c r="D7">
        <f>COUNT(Marks!L$9:L$68)</f>
        <v/>
      </c>
      <c r="E7" s="7">
        <f>IFERROR(AVERAGE(Marks!L$9:L$68)/B7,"")</f>
        <v/>
      </c>
      <c r="F7">
        <f>COUNTIF(Marks!L$9:L$68,"&gt;="&amp;$B$2*B7)</f>
        <v/>
      </c>
      <c r="G7" s="7">
        <f>IFERROR(F7/D7,"")</f>
        <v/>
      </c>
    </row>
    <row r="8">
      <c r="A8" t="inlineStr">
        <is>
          <t>Viva / quiz (4)</t>
        </is>
      </c>
      <c r="B8" t="n">
        <v>4</v>
      </c>
      <c r="C8" t="inlineStr">
        <is>
          <t>l</t>
        </is>
      </c>
      <c r="D8">
        <f>COUNT(Marks!M$9:M$68)</f>
        <v/>
      </c>
      <c r="E8" s="7">
        <f>IFERROR(AVERAGE(Marks!M$9:M$68)/B8,"")</f>
        <v/>
      </c>
      <c r="F8">
        <f>COUNTIF(Marks!M$9:M$68,"&gt;="&amp;$B$2*B8)</f>
        <v/>
      </c>
      <c r="G8" s="7">
        <f>IFERROR(F8/D8,"")</f>
        <v/>
      </c>
    </row>
    <row r="11">
      <c r="A11" s="8" t="inlineStr">
        <is>
          <t>PO attainment (average of the criteria mapped to each PO)</t>
        </is>
      </c>
    </row>
    <row r="12">
      <c r="A12" t="inlineStr">
        <is>
          <t>PO a</t>
        </is>
      </c>
      <c r="B12" s="7">
        <f>IFERROR(AVERAGEIF($C$4:$C$8,"*a*",$G$4:$G$8),"")</f>
        <v/>
      </c>
    </row>
    <row r="13">
      <c r="A13" t="inlineStr">
        <is>
          <t>PO b</t>
        </is>
      </c>
      <c r="B13" s="7">
        <f>IFERROR(AVERAGEIF($C$4:$C$8,"*b*",$G$4:$G$8),"")</f>
        <v/>
      </c>
    </row>
    <row r="14">
      <c r="A14" t="inlineStr">
        <is>
          <t>PO e</t>
        </is>
      </c>
      <c r="B14" s="7">
        <f>IFERROR(AVERAGEIF($C$4:$C$8,"*e*",$G$4:$G$8),"")</f>
        <v/>
      </c>
    </row>
    <row r="15">
      <c r="A15" t="inlineStr">
        <is>
          <t>PO f</t>
        </is>
      </c>
      <c r="B15" s="7">
        <f>IFERROR(AVERAGEIF($C$4:$C$8,"*f*",$G$4:$G$8),"")</f>
        <v/>
      </c>
    </row>
    <row r="16">
      <c r="A16" t="inlineStr">
        <is>
          <t>PO g</t>
        </is>
      </c>
      <c r="B16" s="7">
        <f>IFERROR(AVERAGEIF($C$4:$C$8,"*g*",$G$4:$G$8),"")</f>
        <v/>
      </c>
    </row>
    <row r="17">
      <c r="A17" t="inlineStr">
        <is>
          <t>PO j</t>
        </is>
      </c>
      <c r="B17" s="7">
        <f>IFERROR(AVERAGEIF($C$4:$C$8,"*j*",$G$4:$G$8),"")</f>
        <v/>
      </c>
    </row>
    <row r="18">
      <c r="A18" t="inlineStr">
        <is>
          <t>PO l</t>
        </is>
      </c>
      <c r="B18" s="7">
        <f>IFERROR(AVERAGEIF($C$4:$C$8,"*l*",$G$4:$G$8),"")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2026-10-18T04:23:33Z</dcterms:created>
  <dcterms:modified xmlns:dcterms="http://purl.org/dc/terms/" xmlns:xsi="http://www.w3.org/2001/XMLSchema-instance" xsi:type="dcterms:W3CDTF">2026-10-18T04:23:34Z</dcterms:modified>
</cp:coreProperties>
</file>