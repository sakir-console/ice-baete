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s" sheetId="1" state="visible" r:id="rId1"/>
    <sheet xmlns:r="http://schemas.openxmlformats.org/officeDocument/2006/relationships" name="Attainment" sheetId="2" state="visible" r:id="rId2"/>
  </sheets>
  <definedNames>
    <definedName name="_xlnm.Print_Titles" localSheetId="0">'Marks'!$8:$8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8"/>
    </font>
    <font>
      <name val="Times New Roman"/>
      <b val="1"/>
      <sz val="13"/>
    </font>
    <font>
      <name val="Calibri"/>
      <color rgb="00595959"/>
      <sz val="11"/>
    </font>
    <font>
      <name val="Calibri"/>
      <b val="1"/>
      <color rgb="00FFFFFF"/>
      <sz val="11"/>
    </font>
    <font>
      <name val="Calibri"/>
      <b val="1"/>
      <color rgb="001F3864"/>
      <sz val="14"/>
    </font>
    <font>
      <b val="1"/>
      <color rgb="001F3864"/>
    </font>
  </fonts>
  <fills count="3">
    <fill>
      <patternFill/>
    </fill>
    <fill>
      <patternFill patternType="gray125"/>
    </fill>
    <fill>
      <patternFill patternType="solid">
        <fgColor rgb="001F3864"/>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5" fillId="0" borderId="0" pivotButton="0" quotePrefix="0" xfId="0"/>
    <xf numFmtId="9" fontId="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10</col>
      <colOff>0</colOff>
      <row>0</row>
      <rowOff>0</rowOff>
    </from>
    <ext cx="495300" cy="485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blMarks" displayName="tblMarks" ref="A8:V46" headerRowCount="1">
  <autoFilter ref="A8:V46"/>
  <tableColumns count="22">
    <tableColumn id="1" name="SL"/>
    <tableColumn id="2" name="Semester"/>
    <tableColumn id="3" name="Course code"/>
    <tableColumn id="4" name="Student name"/>
    <tableColumn id="5" name="ID"/>
    <tableColumn id="6" name="Host organisation"/>
    <tableColumn id="7" name="Att. (10)"/>
    <tableColumn id="8" name="Tech (5)"/>
    <tableColumn id="9" name="Quality (5)"/>
    <tableColumn id="10" name="Comm. (5)"/>
    <tableColumn id="11" name="Prof. (5)"/>
    <tableColumn id="12" name="Team (5)"/>
    <tableColumn id="13" name="Prob. (5)"/>
    <tableColumn id="14" name="Init. (5)"/>
    <tableColumn id="15" name="Report (5)"/>
    <tableColumn id="16" name="Total (50)"/>
    <tableColumn id="17" name="Host evaluation (10.4.1-03) received?"/>
    <tableColumn id="18" name="Integrity check (00-09)"/>
    <tableColumn id="19" name="Use as annex sample?"/>
    <tableColumn id="20" name="Marked by"/>
    <tableColumn id="21" name="Date marked"/>
    <tableColumn id="22" name="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2:V46"/>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0" customWidth="1" min="3" max="3"/>
    <col width="24" customWidth="1" min="4" max="4"/>
    <col width="12" customWidth="1" min="5" max="5"/>
    <col width="16"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9" customWidth="1" min="16" max="16"/>
    <col width="12" customWidth="1" min="17" max="17"/>
    <col width="16" customWidth="1" min="18" max="18"/>
    <col width="12" customWidth="1" min="19" max="19"/>
    <col width="18" customWidth="1" min="20" max="20"/>
    <col width="11" customWidth="1" min="21" max="21"/>
    <col width="36" customWidth="1" min="22" max="22"/>
  </cols>
  <sheetData>
    <row r="1" ht="56" customHeight="1"/>
    <row r="2">
      <c r="A2" s="1" t="inlineStr">
        <is>
          <t>Daffodil International University</t>
        </is>
      </c>
    </row>
    <row r="3">
      <c r="A3" s="2" t="inlineStr">
        <is>
          <t>Faculty of Engineering</t>
        </is>
      </c>
    </row>
    <row r="4">
      <c r="A4" s="2" t="inlineStr">
        <is>
          <t>Department of Information and Communication Engineering</t>
        </is>
      </c>
    </row>
    <row r="5">
      <c r="A5" s="2" t="inlineStr">
        <is>
          <t>Industrial Training / Internship - Mark Sheet and Outcome Attainment</t>
        </is>
      </c>
    </row>
    <row r="6" ht="46" customHeight="1">
      <c r="A6" s="3" t="inlineStr">
        <is>
          <t>One row per student. Marks use the approved rubric 10.4.1-02 and are entered only by the evaluator who marked the work, with the actual date of marking (work marked now for an earlier semester shows today's date and is disclosed as such). Pre-filled rows come from the annex folder; course codes and full names must be confirmed.</t>
        </is>
      </c>
    </row>
    <row r="8">
      <c r="A8" s="4" t="inlineStr">
        <is>
          <t>SL</t>
        </is>
      </c>
      <c r="B8" s="4" t="inlineStr">
        <is>
          <t>Semester</t>
        </is>
      </c>
      <c r="C8" s="4" t="inlineStr">
        <is>
          <t>Course code</t>
        </is>
      </c>
      <c r="D8" s="4" t="inlineStr">
        <is>
          <t>Student name</t>
        </is>
      </c>
      <c r="E8" s="4" t="inlineStr">
        <is>
          <t>ID</t>
        </is>
      </c>
      <c r="F8" s="4" t="inlineStr">
        <is>
          <t>Host organisation</t>
        </is>
      </c>
      <c r="G8" s="4" t="inlineStr">
        <is>
          <t>Att. (10)</t>
        </is>
      </c>
      <c r="H8" s="4" t="inlineStr">
        <is>
          <t>Tech (5)</t>
        </is>
      </c>
      <c r="I8" s="4" t="inlineStr">
        <is>
          <t>Quality (5)</t>
        </is>
      </c>
      <c r="J8" s="4" t="inlineStr">
        <is>
          <t>Comm. (5)</t>
        </is>
      </c>
      <c r="K8" s="4" t="inlineStr">
        <is>
          <t>Prof. (5)</t>
        </is>
      </c>
      <c r="L8" s="4" t="inlineStr">
        <is>
          <t>Team (5)</t>
        </is>
      </c>
      <c r="M8" s="4" t="inlineStr">
        <is>
          <t>Prob. (5)</t>
        </is>
      </c>
      <c r="N8" s="4" t="inlineStr">
        <is>
          <t>Init. (5)</t>
        </is>
      </c>
      <c r="O8" s="4" t="inlineStr">
        <is>
          <t>Report (5)</t>
        </is>
      </c>
      <c r="P8" s="4" t="inlineStr">
        <is>
          <t>Total (50)</t>
        </is>
      </c>
      <c r="Q8" s="4" t="inlineStr">
        <is>
          <t>Host evaluation (10.4.1-03) received?</t>
        </is>
      </c>
      <c r="R8" s="4" t="inlineStr">
        <is>
          <t>Integrity check (00-09)</t>
        </is>
      </c>
      <c r="S8" s="4" t="inlineStr">
        <is>
          <t>Use as annex sample?</t>
        </is>
      </c>
      <c r="T8" s="4" t="inlineStr">
        <is>
          <t>Marked by</t>
        </is>
      </c>
      <c r="U8" s="4" t="inlineStr">
        <is>
          <t>Date marked</t>
        </is>
      </c>
      <c r="V8" s="4" t="inlineStr">
        <is>
          <t>Notes</t>
        </is>
      </c>
    </row>
    <row r="9">
      <c r="A9" s="5" t="n">
        <v>1</v>
      </c>
      <c r="B9" s="5" t="inlineStr">
        <is>
          <t>Summer 2024</t>
        </is>
      </c>
      <c r="C9" s="5" t="inlineStr">
        <is>
          <t>[ICE 49_]</t>
        </is>
      </c>
      <c r="D9" s="5" t="inlineStr">
        <is>
          <t>Heya [full name]</t>
        </is>
      </c>
      <c r="E9" s="5" t="inlineStr">
        <is>
          <t>203-50-038</t>
        </is>
      </c>
      <c r="F9" s="5" t="inlineStr">
        <is>
          <t>Riseup Labs</t>
        </is>
      </c>
      <c r="G9" s="5" t="n"/>
      <c r="H9" s="5" t="n"/>
      <c r="I9" s="5" t="n"/>
      <c r="J9" s="5" t="n"/>
      <c r="K9" s="5" t="n"/>
      <c r="L9" s="5" t="n"/>
      <c r="M9" s="5" t="n"/>
      <c r="N9" s="5" t="n"/>
      <c r="O9" s="5" t="n"/>
      <c r="P9" s="5">
        <f>IF(COUNT(G9:O9)=0,"",SUM(G9:O9))</f>
        <v/>
      </c>
      <c r="Q9" s="5" t="inlineStr">
        <is>
          <t>No</t>
        </is>
      </c>
      <c r="R9" s="5" t="inlineStr">
        <is>
          <t>To explain (00-07)</t>
        </is>
      </c>
      <c r="S9" s="5" t="inlineStr">
        <is>
          <t>[decide]</t>
        </is>
      </c>
      <c r="T9" s="5" t="n"/>
      <c r="U9" s="5" t="n"/>
      <c r="V9" s="5" t="n"/>
    </row>
    <row r="10">
      <c r="A10" s="5" t="n">
        <v>2</v>
      </c>
      <c r="B10" s="5" t="inlineStr">
        <is>
          <t>Summer 2024</t>
        </is>
      </c>
      <c r="C10" s="5" t="inlineStr">
        <is>
          <t>[ICE 49_]</t>
        </is>
      </c>
      <c r="D10" s="5" t="inlineStr">
        <is>
          <t>Safayet Islam Safin</t>
        </is>
      </c>
      <c r="E10" s="5" t="inlineStr">
        <is>
          <t>203-50-040</t>
        </is>
      </c>
      <c r="F10" s="5" t="inlineStr">
        <is>
          <t>Riseup Labs</t>
        </is>
      </c>
      <c r="G10" s="5" t="n"/>
      <c r="H10" s="5" t="n"/>
      <c r="I10" s="5" t="n"/>
      <c r="J10" s="5" t="n"/>
      <c r="K10" s="5" t="n"/>
      <c r="L10" s="5" t="n"/>
      <c r="M10" s="5" t="n"/>
      <c r="N10" s="5" t="n"/>
      <c r="O10" s="5" t="n"/>
      <c r="P10" s="5">
        <f>IF(COUNT(G10:O10)=0,"",SUM(G10:O10))</f>
        <v/>
      </c>
      <c r="Q10" s="5" t="inlineStr">
        <is>
          <t>No</t>
        </is>
      </c>
      <c r="R10" s="5" t="inlineStr">
        <is>
          <t>Clear</t>
        </is>
      </c>
      <c r="S10" s="5" t="inlineStr">
        <is>
          <t>[decide]</t>
        </is>
      </c>
      <c r="T10" s="5" t="n"/>
      <c r="U10" s="5" t="n"/>
      <c r="V10" s="5" t="n"/>
    </row>
    <row r="11">
      <c r="A11" s="5" t="n">
        <v>3</v>
      </c>
      <c r="B11" s="5" t="inlineStr">
        <is>
          <t>Summer 2024</t>
        </is>
      </c>
      <c r="C11" s="5" t="inlineStr">
        <is>
          <t>[ICE 49_]</t>
        </is>
      </c>
      <c r="D11" s="5" t="inlineStr">
        <is>
          <t>Shahriar [full name]</t>
        </is>
      </c>
      <c r="E11" s="5" t="inlineStr">
        <is>
          <t>203-50-041</t>
        </is>
      </c>
      <c r="F11" s="5" t="inlineStr">
        <is>
          <t>Riseup Labs</t>
        </is>
      </c>
      <c r="G11" s="5" t="n"/>
      <c r="H11" s="5" t="n"/>
      <c r="I11" s="5" t="n"/>
      <c r="J11" s="5" t="n"/>
      <c r="K11" s="5" t="n"/>
      <c r="L11" s="5" t="n"/>
      <c r="M11" s="5" t="n"/>
      <c r="N11" s="5" t="n"/>
      <c r="O11" s="5" t="n"/>
      <c r="P11" s="5">
        <f>IF(COUNT(G11:O11)=0,"",SUM(G11:O11))</f>
        <v/>
      </c>
      <c r="Q11" s="5" t="inlineStr">
        <is>
          <t>No</t>
        </is>
      </c>
      <c r="R11" s="5" t="inlineStr">
        <is>
          <t>Issue - identical test cases</t>
        </is>
      </c>
      <c r="S11" s="5" t="inlineStr">
        <is>
          <t>No</t>
        </is>
      </c>
      <c r="T11" s="5" t="n"/>
      <c r="U11" s="5" t="n"/>
      <c r="V11" s="5" t="n"/>
    </row>
    <row r="12">
      <c r="A12" s="5" t="n">
        <v>4</v>
      </c>
      <c r="B12" s="5" t="inlineStr">
        <is>
          <t>Summer 2024</t>
        </is>
      </c>
      <c r="C12" s="5" t="inlineStr">
        <is>
          <t>[ICE 49_]</t>
        </is>
      </c>
      <c r="D12" s="5" t="inlineStr">
        <is>
          <t>Abrar Shahriar</t>
        </is>
      </c>
      <c r="E12" s="5" t="inlineStr">
        <is>
          <t>203-50-045</t>
        </is>
      </c>
      <c r="F12" s="5" t="inlineStr">
        <is>
          <t>Riseup Labs</t>
        </is>
      </c>
      <c r="G12" s="5" t="n"/>
      <c r="H12" s="5" t="n"/>
      <c r="I12" s="5" t="n"/>
      <c r="J12" s="5" t="n"/>
      <c r="K12" s="5" t="n"/>
      <c r="L12" s="5" t="n"/>
      <c r="M12" s="5" t="n"/>
      <c r="N12" s="5" t="n"/>
      <c r="O12" s="5" t="n"/>
      <c r="P12" s="5">
        <f>IF(COUNT(G12:O12)=0,"",SUM(G12:O12))</f>
        <v/>
      </c>
      <c r="Q12" s="5" t="inlineStr">
        <is>
          <t>No</t>
        </is>
      </c>
      <c r="R12" s="5" t="inlineStr">
        <is>
          <t>To explain (00-07)</t>
        </is>
      </c>
      <c r="S12" s="5" t="inlineStr">
        <is>
          <t>[decide]</t>
        </is>
      </c>
      <c r="T12" s="5" t="n"/>
      <c r="U12" s="5" t="n"/>
      <c r="V12" s="5" t="inlineStr">
        <is>
          <t>Training certificate 24/06/2024 - 14/07/2024 only; no assessment file. Confirm whether this is the same student as row 3.</t>
        </is>
      </c>
    </row>
    <row r="13">
      <c r="A13" s="5" t="n">
        <v>5</v>
      </c>
      <c r="B13" s="5" t="inlineStr">
        <is>
          <t>Summer 2024</t>
        </is>
      </c>
      <c r="C13" s="5" t="inlineStr">
        <is>
          <t>[ICE 49_]</t>
        </is>
      </c>
      <c r="D13" s="5" t="inlineStr">
        <is>
          <t>Mohammad Sabbir Bhuiyan</t>
        </is>
      </c>
      <c r="E13" s="5" t="inlineStr">
        <is>
          <t>211-50-051</t>
        </is>
      </c>
      <c r="F13" s="5" t="inlineStr">
        <is>
          <t>Riseup Labs</t>
        </is>
      </c>
      <c r="G13" s="5" t="n"/>
      <c r="H13" s="5" t="n"/>
      <c r="I13" s="5" t="n"/>
      <c r="J13" s="5" t="n"/>
      <c r="K13" s="5" t="n"/>
      <c r="L13" s="5" t="n"/>
      <c r="M13" s="5" t="n"/>
      <c r="N13" s="5" t="n"/>
      <c r="O13" s="5" t="n"/>
      <c r="P13" s="5">
        <f>IF(COUNT(G13:O13)=0,"",SUM(G13:O13))</f>
        <v/>
      </c>
      <c r="Q13" s="5" t="inlineStr">
        <is>
          <t>No</t>
        </is>
      </c>
      <c r="R13" s="5" t="inlineStr">
        <is>
          <t>Issue - sheet shows another student's name</t>
        </is>
      </c>
      <c r="S13" s="5" t="inlineStr">
        <is>
          <t>No</t>
        </is>
      </c>
      <c r="T13" s="5" t="n"/>
      <c r="U13" s="5" t="n"/>
      <c r="V13" s="5" t="n"/>
    </row>
    <row r="14">
      <c r="A14" s="5" t="n">
        <v>6</v>
      </c>
      <c r="B14" s="5" t="inlineStr">
        <is>
          <t>Summer 2024</t>
        </is>
      </c>
      <c r="C14" s="5" t="inlineStr">
        <is>
          <t>[ICE 49_]</t>
        </is>
      </c>
      <c r="D14" s="5" t="inlineStr">
        <is>
          <t>Tawsif [full name]</t>
        </is>
      </c>
      <c r="E14" s="5" t="inlineStr">
        <is>
          <t>211-50-054</t>
        </is>
      </c>
      <c r="F14" s="5" t="inlineStr">
        <is>
          <t>Riseup Labs</t>
        </is>
      </c>
      <c r="G14" s="5" t="n"/>
      <c r="H14" s="5" t="n"/>
      <c r="I14" s="5" t="n"/>
      <c r="J14" s="5" t="n"/>
      <c r="K14" s="5" t="n"/>
      <c r="L14" s="5" t="n"/>
      <c r="M14" s="5" t="n"/>
      <c r="N14" s="5" t="n"/>
      <c r="O14" s="5" t="n"/>
      <c r="P14" s="5">
        <f>IF(COUNT(G14:O14)=0,"",SUM(G14:O14))</f>
        <v/>
      </c>
      <c r="Q14" s="5" t="inlineStr">
        <is>
          <t>No</t>
        </is>
      </c>
      <c r="R14" s="5" t="inlineStr">
        <is>
          <t>Issue - identical work</t>
        </is>
      </c>
      <c r="S14" s="5" t="inlineStr">
        <is>
          <t>No</t>
        </is>
      </c>
      <c r="T14" s="5" t="n"/>
      <c r="U14" s="5" t="n"/>
      <c r="V14" s="5" t="n"/>
    </row>
    <row r="15">
      <c r="A15" s="5" t="n">
        <v>7</v>
      </c>
      <c r="B15" s="5" t="inlineStr">
        <is>
          <t>Summer 2024</t>
        </is>
      </c>
      <c r="C15" s="5" t="inlineStr">
        <is>
          <t>[ICE 49_]</t>
        </is>
      </c>
      <c r="D15" s="5" t="inlineStr">
        <is>
          <t>Kazi Faiyaz Ahmed</t>
        </is>
      </c>
      <c r="E15" s="5" t="inlineStr">
        <is>
          <t>211-50-057</t>
        </is>
      </c>
      <c r="F15" s="5" t="inlineStr">
        <is>
          <t>Riseup Labs</t>
        </is>
      </c>
      <c r="G15" s="5" t="n"/>
      <c r="H15" s="5" t="n"/>
      <c r="I15" s="5" t="n"/>
      <c r="J15" s="5" t="n"/>
      <c r="K15" s="5" t="n"/>
      <c r="L15" s="5" t="n"/>
      <c r="M15" s="5" t="n"/>
      <c r="N15" s="5" t="n"/>
      <c r="O15" s="5" t="n"/>
      <c r="P15" s="5">
        <f>IF(COUNT(G15:O15)=0,"",SUM(G15:O15))</f>
        <v/>
      </c>
      <c r="Q15" s="5" t="inlineStr">
        <is>
          <t>No</t>
        </is>
      </c>
      <c r="R15" s="5" t="inlineStr">
        <is>
          <t>Issue - identical work</t>
        </is>
      </c>
      <c r="S15" s="5" t="inlineStr">
        <is>
          <t>No</t>
        </is>
      </c>
      <c r="T15" s="5" t="n"/>
      <c r="U15" s="5" t="n"/>
      <c r="V15" s="5" t="n"/>
    </row>
    <row r="16">
      <c r="A16" s="5" t="n">
        <v>8</v>
      </c>
      <c r="B16" s="5" t="inlineStr">
        <is>
          <t>Spring 2025</t>
        </is>
      </c>
      <c r="C16" s="5" t="inlineStr">
        <is>
          <t>ICE 496</t>
        </is>
      </c>
      <c r="D16" s="5" t="inlineStr">
        <is>
          <t>Md. Awsaf Iqbal Chowdhury</t>
        </is>
      </c>
      <c r="E16" s="5" t="inlineStr">
        <is>
          <t>213-50-066</t>
        </is>
      </c>
      <c r="F16" s="5" t="inlineStr">
        <is>
          <t>Riseup Labs</t>
        </is>
      </c>
      <c r="G16" s="5" t="n"/>
      <c r="H16" s="5" t="n"/>
      <c r="I16" s="5" t="n"/>
      <c r="J16" s="5" t="n"/>
      <c r="K16" s="5" t="n"/>
      <c r="L16" s="5" t="n"/>
      <c r="M16" s="5" t="n"/>
      <c r="N16" s="5" t="n"/>
      <c r="O16" s="5" t="n"/>
      <c r="P16" s="5">
        <f>IF(COUNT(G16:O16)=0,"",SUM(G16:O16))</f>
        <v/>
      </c>
      <c r="Q16" s="5" t="inlineStr">
        <is>
          <t>No</t>
        </is>
      </c>
      <c r="R16" s="5" t="inlineStr">
        <is>
          <t>Clear</t>
        </is>
      </c>
      <c r="S16" s="5" t="inlineStr">
        <is>
          <t>[decide]</t>
        </is>
      </c>
      <c r="T16" s="5" t="n"/>
      <c r="U16" s="5" t="n"/>
      <c r="V16" s="5" t="inlineStr">
        <is>
          <t>Report submitted 27/04/2025 to Wasif Zaman, SQA Team Lead, Riseup Labs.</t>
        </is>
      </c>
    </row>
    <row r="17">
      <c r="A17" s="5" t="n"/>
      <c r="B17" s="5" t="n"/>
      <c r="C17" s="5" t="n"/>
      <c r="D17" s="5" t="n"/>
      <c r="E17" s="5" t="n"/>
      <c r="F17" s="5" t="n"/>
      <c r="G17" s="5" t="n"/>
      <c r="H17" s="5" t="n"/>
      <c r="I17" s="5" t="n"/>
      <c r="J17" s="5" t="n"/>
      <c r="K17" s="5" t="n"/>
      <c r="L17" s="5" t="n"/>
      <c r="M17" s="5" t="n"/>
      <c r="N17" s="5" t="n"/>
      <c r="O17" s="5" t="n"/>
      <c r="P17" s="5">
        <f>IF(COUNT(G17:O17)=0,"",SUM(G17:O17))</f>
        <v/>
      </c>
      <c r="Q17" s="5" t="n"/>
      <c r="R17" s="5" t="n"/>
      <c r="S17" s="5" t="n"/>
      <c r="T17" s="5" t="n"/>
      <c r="U17" s="5" t="n"/>
      <c r="V17" s="5" t="n"/>
    </row>
    <row r="18">
      <c r="A18" s="5" t="n"/>
      <c r="B18" s="5" t="n"/>
      <c r="C18" s="5" t="n"/>
      <c r="D18" s="5" t="n"/>
      <c r="E18" s="5" t="n"/>
      <c r="F18" s="5" t="n"/>
      <c r="G18" s="5" t="n"/>
      <c r="H18" s="5" t="n"/>
      <c r="I18" s="5" t="n"/>
      <c r="J18" s="5" t="n"/>
      <c r="K18" s="5" t="n"/>
      <c r="L18" s="5" t="n"/>
      <c r="M18" s="5" t="n"/>
      <c r="N18" s="5" t="n"/>
      <c r="O18" s="5" t="n"/>
      <c r="P18" s="5">
        <f>IF(COUNT(G18:O18)=0,"",SUM(G18:O18))</f>
        <v/>
      </c>
      <c r="Q18" s="5" t="n"/>
      <c r="R18" s="5" t="n"/>
      <c r="S18" s="5" t="n"/>
      <c r="T18" s="5" t="n"/>
      <c r="U18" s="5" t="n"/>
      <c r="V18" s="5" t="n"/>
    </row>
    <row r="19">
      <c r="A19" s="5" t="n"/>
      <c r="B19" s="5" t="n"/>
      <c r="C19" s="5" t="n"/>
      <c r="D19" s="5" t="n"/>
      <c r="E19" s="5" t="n"/>
      <c r="F19" s="5" t="n"/>
      <c r="G19" s="5" t="n"/>
      <c r="H19" s="5" t="n"/>
      <c r="I19" s="5" t="n"/>
      <c r="J19" s="5" t="n"/>
      <c r="K19" s="5" t="n"/>
      <c r="L19" s="5" t="n"/>
      <c r="M19" s="5" t="n"/>
      <c r="N19" s="5" t="n"/>
      <c r="O19" s="5" t="n"/>
      <c r="P19" s="5">
        <f>IF(COUNT(G19:O19)=0,"",SUM(G19:O19))</f>
        <v/>
      </c>
      <c r="Q19" s="5" t="n"/>
      <c r="R19" s="5" t="n"/>
      <c r="S19" s="5" t="n"/>
      <c r="T19" s="5" t="n"/>
      <c r="U19" s="5" t="n"/>
      <c r="V19" s="5" t="n"/>
    </row>
    <row r="20">
      <c r="A20" s="5" t="n"/>
      <c r="B20" s="5" t="n"/>
      <c r="C20" s="5" t="n"/>
      <c r="D20" s="5" t="n"/>
      <c r="E20" s="5" t="n"/>
      <c r="F20" s="5" t="n"/>
      <c r="G20" s="5" t="n"/>
      <c r="H20" s="5" t="n"/>
      <c r="I20" s="5" t="n"/>
      <c r="J20" s="5" t="n"/>
      <c r="K20" s="5" t="n"/>
      <c r="L20" s="5" t="n"/>
      <c r="M20" s="5" t="n"/>
      <c r="N20" s="5" t="n"/>
      <c r="O20" s="5" t="n"/>
      <c r="P20" s="5">
        <f>IF(COUNT(G20:O20)=0,"",SUM(G20:O20))</f>
        <v/>
      </c>
      <c r="Q20" s="5" t="n"/>
      <c r="R20" s="5" t="n"/>
      <c r="S20" s="5" t="n"/>
      <c r="T20" s="5" t="n"/>
      <c r="U20" s="5" t="n"/>
      <c r="V20" s="5" t="n"/>
    </row>
    <row r="21">
      <c r="A21" s="5" t="n"/>
      <c r="B21" s="5" t="n"/>
      <c r="C21" s="5" t="n"/>
      <c r="D21" s="5" t="n"/>
      <c r="E21" s="5" t="n"/>
      <c r="F21" s="5" t="n"/>
      <c r="G21" s="5" t="n"/>
      <c r="H21" s="5" t="n"/>
      <c r="I21" s="5" t="n"/>
      <c r="J21" s="5" t="n"/>
      <c r="K21" s="5" t="n"/>
      <c r="L21" s="5" t="n"/>
      <c r="M21" s="5" t="n"/>
      <c r="N21" s="5" t="n"/>
      <c r="O21" s="5" t="n"/>
      <c r="P21" s="5">
        <f>IF(COUNT(G21:O21)=0,"",SUM(G21:O21))</f>
        <v/>
      </c>
      <c r="Q21" s="5" t="n"/>
      <c r="R21" s="5" t="n"/>
      <c r="S21" s="5" t="n"/>
      <c r="T21" s="5" t="n"/>
      <c r="U21" s="5" t="n"/>
      <c r="V21" s="5" t="n"/>
    </row>
    <row r="22">
      <c r="A22" s="5" t="n"/>
      <c r="B22" s="5" t="n"/>
      <c r="C22" s="5" t="n"/>
      <c r="D22" s="5" t="n"/>
      <c r="E22" s="5" t="n"/>
      <c r="F22" s="5" t="n"/>
      <c r="G22" s="5" t="n"/>
      <c r="H22" s="5" t="n"/>
      <c r="I22" s="5" t="n"/>
      <c r="J22" s="5" t="n"/>
      <c r="K22" s="5" t="n"/>
      <c r="L22" s="5" t="n"/>
      <c r="M22" s="5" t="n"/>
      <c r="N22" s="5" t="n"/>
      <c r="O22" s="5" t="n"/>
      <c r="P22" s="5">
        <f>IF(COUNT(G22:O22)=0,"",SUM(G22:O22))</f>
        <v/>
      </c>
      <c r="Q22" s="5" t="n"/>
      <c r="R22" s="5" t="n"/>
      <c r="S22" s="5" t="n"/>
      <c r="T22" s="5" t="n"/>
      <c r="U22" s="5" t="n"/>
      <c r="V22" s="5" t="n"/>
    </row>
    <row r="23">
      <c r="A23" s="5" t="n"/>
      <c r="B23" s="5" t="n"/>
      <c r="C23" s="5" t="n"/>
      <c r="D23" s="5" t="n"/>
      <c r="E23" s="5" t="n"/>
      <c r="F23" s="5" t="n"/>
      <c r="G23" s="5" t="n"/>
      <c r="H23" s="5" t="n"/>
      <c r="I23" s="5" t="n"/>
      <c r="J23" s="5" t="n"/>
      <c r="K23" s="5" t="n"/>
      <c r="L23" s="5" t="n"/>
      <c r="M23" s="5" t="n"/>
      <c r="N23" s="5" t="n"/>
      <c r="O23" s="5" t="n"/>
      <c r="P23" s="5">
        <f>IF(COUNT(G23:O23)=0,"",SUM(G23:O23))</f>
        <v/>
      </c>
      <c r="Q23" s="5" t="n"/>
      <c r="R23" s="5" t="n"/>
      <c r="S23" s="5" t="n"/>
      <c r="T23" s="5" t="n"/>
      <c r="U23" s="5" t="n"/>
      <c r="V23" s="5" t="n"/>
    </row>
    <row r="24">
      <c r="A24" s="5" t="n"/>
      <c r="B24" s="5" t="n"/>
      <c r="C24" s="5" t="n"/>
      <c r="D24" s="5" t="n"/>
      <c r="E24" s="5" t="n"/>
      <c r="F24" s="5" t="n"/>
      <c r="G24" s="5" t="n"/>
      <c r="H24" s="5" t="n"/>
      <c r="I24" s="5" t="n"/>
      <c r="J24" s="5" t="n"/>
      <c r="K24" s="5" t="n"/>
      <c r="L24" s="5" t="n"/>
      <c r="M24" s="5" t="n"/>
      <c r="N24" s="5" t="n"/>
      <c r="O24" s="5" t="n"/>
      <c r="P24" s="5">
        <f>IF(COUNT(G24:O24)=0,"",SUM(G24:O24))</f>
        <v/>
      </c>
      <c r="Q24" s="5" t="n"/>
      <c r="R24" s="5" t="n"/>
      <c r="S24" s="5" t="n"/>
      <c r="T24" s="5" t="n"/>
      <c r="U24" s="5" t="n"/>
      <c r="V24" s="5" t="n"/>
    </row>
    <row r="25">
      <c r="A25" s="5" t="n"/>
      <c r="B25" s="5" t="n"/>
      <c r="C25" s="5" t="n"/>
      <c r="D25" s="5" t="n"/>
      <c r="E25" s="5" t="n"/>
      <c r="F25" s="5" t="n"/>
      <c r="G25" s="5" t="n"/>
      <c r="H25" s="5" t="n"/>
      <c r="I25" s="5" t="n"/>
      <c r="J25" s="5" t="n"/>
      <c r="K25" s="5" t="n"/>
      <c r="L25" s="5" t="n"/>
      <c r="M25" s="5" t="n"/>
      <c r="N25" s="5" t="n"/>
      <c r="O25" s="5" t="n"/>
      <c r="P25" s="5">
        <f>IF(COUNT(G25:O25)=0,"",SUM(G25:O25))</f>
        <v/>
      </c>
      <c r="Q25" s="5" t="n"/>
      <c r="R25" s="5" t="n"/>
      <c r="S25" s="5" t="n"/>
      <c r="T25" s="5" t="n"/>
      <c r="U25" s="5" t="n"/>
      <c r="V25" s="5" t="n"/>
    </row>
    <row r="26">
      <c r="A26" s="5" t="n"/>
      <c r="B26" s="5" t="n"/>
      <c r="C26" s="5" t="n"/>
      <c r="D26" s="5" t="n"/>
      <c r="E26" s="5" t="n"/>
      <c r="F26" s="5" t="n"/>
      <c r="G26" s="5" t="n"/>
      <c r="H26" s="5" t="n"/>
      <c r="I26" s="5" t="n"/>
      <c r="J26" s="5" t="n"/>
      <c r="K26" s="5" t="n"/>
      <c r="L26" s="5" t="n"/>
      <c r="M26" s="5" t="n"/>
      <c r="N26" s="5" t="n"/>
      <c r="O26" s="5" t="n"/>
      <c r="P26" s="5">
        <f>IF(COUNT(G26:O26)=0,"",SUM(G26:O26))</f>
        <v/>
      </c>
      <c r="Q26" s="5" t="n"/>
      <c r="R26" s="5" t="n"/>
      <c r="S26" s="5" t="n"/>
      <c r="T26" s="5" t="n"/>
      <c r="U26" s="5" t="n"/>
      <c r="V26" s="5" t="n"/>
    </row>
    <row r="27">
      <c r="A27" s="5" t="n"/>
      <c r="B27" s="5" t="n"/>
      <c r="C27" s="5" t="n"/>
      <c r="D27" s="5" t="n"/>
      <c r="E27" s="5" t="n"/>
      <c r="F27" s="5" t="n"/>
      <c r="G27" s="5" t="n"/>
      <c r="H27" s="5" t="n"/>
      <c r="I27" s="5" t="n"/>
      <c r="J27" s="5" t="n"/>
      <c r="K27" s="5" t="n"/>
      <c r="L27" s="5" t="n"/>
      <c r="M27" s="5" t="n"/>
      <c r="N27" s="5" t="n"/>
      <c r="O27" s="5" t="n"/>
      <c r="P27" s="5">
        <f>IF(COUNT(G27:O27)=0,"",SUM(G27:O27))</f>
        <v/>
      </c>
      <c r="Q27" s="5" t="n"/>
      <c r="R27" s="5" t="n"/>
      <c r="S27" s="5" t="n"/>
      <c r="T27" s="5" t="n"/>
      <c r="U27" s="5" t="n"/>
      <c r="V27" s="5" t="n"/>
    </row>
    <row r="28">
      <c r="A28" s="5" t="n"/>
      <c r="B28" s="5" t="n"/>
      <c r="C28" s="5" t="n"/>
      <c r="D28" s="5" t="n"/>
      <c r="E28" s="5" t="n"/>
      <c r="F28" s="5" t="n"/>
      <c r="G28" s="5" t="n"/>
      <c r="H28" s="5" t="n"/>
      <c r="I28" s="5" t="n"/>
      <c r="J28" s="5" t="n"/>
      <c r="K28" s="5" t="n"/>
      <c r="L28" s="5" t="n"/>
      <c r="M28" s="5" t="n"/>
      <c r="N28" s="5" t="n"/>
      <c r="O28" s="5" t="n"/>
      <c r="P28" s="5">
        <f>IF(COUNT(G28:O28)=0,"",SUM(G28:O28))</f>
        <v/>
      </c>
      <c r="Q28" s="5" t="n"/>
      <c r="R28" s="5" t="n"/>
      <c r="S28" s="5" t="n"/>
      <c r="T28" s="5" t="n"/>
      <c r="U28" s="5" t="n"/>
      <c r="V28" s="5" t="n"/>
    </row>
    <row r="29">
      <c r="A29" s="5" t="n"/>
      <c r="B29" s="5" t="n"/>
      <c r="C29" s="5" t="n"/>
      <c r="D29" s="5" t="n"/>
      <c r="E29" s="5" t="n"/>
      <c r="F29" s="5" t="n"/>
      <c r="G29" s="5" t="n"/>
      <c r="H29" s="5" t="n"/>
      <c r="I29" s="5" t="n"/>
      <c r="J29" s="5" t="n"/>
      <c r="K29" s="5" t="n"/>
      <c r="L29" s="5" t="n"/>
      <c r="M29" s="5" t="n"/>
      <c r="N29" s="5" t="n"/>
      <c r="O29" s="5" t="n"/>
      <c r="P29" s="5">
        <f>IF(COUNT(G29:O29)=0,"",SUM(G29:O29))</f>
        <v/>
      </c>
      <c r="Q29" s="5" t="n"/>
      <c r="R29" s="5" t="n"/>
      <c r="S29" s="5" t="n"/>
      <c r="T29" s="5" t="n"/>
      <c r="U29" s="5" t="n"/>
      <c r="V29" s="5" t="n"/>
    </row>
    <row r="30">
      <c r="A30" s="5" t="n"/>
      <c r="B30" s="5" t="n"/>
      <c r="C30" s="5" t="n"/>
      <c r="D30" s="5" t="n"/>
      <c r="E30" s="5" t="n"/>
      <c r="F30" s="5" t="n"/>
      <c r="G30" s="5" t="n"/>
      <c r="H30" s="5" t="n"/>
      <c r="I30" s="5" t="n"/>
      <c r="J30" s="5" t="n"/>
      <c r="K30" s="5" t="n"/>
      <c r="L30" s="5" t="n"/>
      <c r="M30" s="5" t="n"/>
      <c r="N30" s="5" t="n"/>
      <c r="O30" s="5" t="n"/>
      <c r="P30" s="5">
        <f>IF(COUNT(G30:O30)=0,"",SUM(G30:O30))</f>
        <v/>
      </c>
      <c r="Q30" s="5" t="n"/>
      <c r="R30" s="5" t="n"/>
      <c r="S30" s="5" t="n"/>
      <c r="T30" s="5" t="n"/>
      <c r="U30" s="5" t="n"/>
      <c r="V30" s="5" t="n"/>
    </row>
    <row r="31">
      <c r="A31" s="5" t="n"/>
      <c r="B31" s="5" t="n"/>
      <c r="C31" s="5" t="n"/>
      <c r="D31" s="5" t="n"/>
      <c r="E31" s="5" t="n"/>
      <c r="F31" s="5" t="n"/>
      <c r="G31" s="5" t="n"/>
      <c r="H31" s="5" t="n"/>
      <c r="I31" s="5" t="n"/>
      <c r="J31" s="5" t="n"/>
      <c r="K31" s="5" t="n"/>
      <c r="L31" s="5" t="n"/>
      <c r="M31" s="5" t="n"/>
      <c r="N31" s="5" t="n"/>
      <c r="O31" s="5" t="n"/>
      <c r="P31" s="5">
        <f>IF(COUNT(G31:O31)=0,"",SUM(G31:O31))</f>
        <v/>
      </c>
      <c r="Q31" s="5" t="n"/>
      <c r="R31" s="5" t="n"/>
      <c r="S31" s="5" t="n"/>
      <c r="T31" s="5" t="n"/>
      <c r="U31" s="5" t="n"/>
      <c r="V31" s="5" t="n"/>
    </row>
    <row r="32">
      <c r="A32" s="5" t="n"/>
      <c r="B32" s="5" t="n"/>
      <c r="C32" s="5" t="n"/>
      <c r="D32" s="5" t="n"/>
      <c r="E32" s="5" t="n"/>
      <c r="F32" s="5" t="n"/>
      <c r="G32" s="5" t="n"/>
      <c r="H32" s="5" t="n"/>
      <c r="I32" s="5" t="n"/>
      <c r="J32" s="5" t="n"/>
      <c r="K32" s="5" t="n"/>
      <c r="L32" s="5" t="n"/>
      <c r="M32" s="5" t="n"/>
      <c r="N32" s="5" t="n"/>
      <c r="O32" s="5" t="n"/>
      <c r="P32" s="5">
        <f>IF(COUNT(G32:O32)=0,"",SUM(G32:O32))</f>
        <v/>
      </c>
      <c r="Q32" s="5" t="n"/>
      <c r="R32" s="5" t="n"/>
      <c r="S32" s="5" t="n"/>
      <c r="T32" s="5" t="n"/>
      <c r="U32" s="5" t="n"/>
      <c r="V32" s="5" t="n"/>
    </row>
    <row r="33">
      <c r="A33" s="5" t="n"/>
      <c r="B33" s="5" t="n"/>
      <c r="C33" s="5" t="n"/>
      <c r="D33" s="5" t="n"/>
      <c r="E33" s="5" t="n"/>
      <c r="F33" s="5" t="n"/>
      <c r="G33" s="5" t="n"/>
      <c r="H33" s="5" t="n"/>
      <c r="I33" s="5" t="n"/>
      <c r="J33" s="5" t="n"/>
      <c r="K33" s="5" t="n"/>
      <c r="L33" s="5" t="n"/>
      <c r="M33" s="5" t="n"/>
      <c r="N33" s="5" t="n"/>
      <c r="O33" s="5" t="n"/>
      <c r="P33" s="5">
        <f>IF(COUNT(G33:O33)=0,"",SUM(G33:O33))</f>
        <v/>
      </c>
      <c r="Q33" s="5" t="n"/>
      <c r="R33" s="5" t="n"/>
      <c r="S33" s="5" t="n"/>
      <c r="T33" s="5" t="n"/>
      <c r="U33" s="5" t="n"/>
      <c r="V33" s="5" t="n"/>
    </row>
    <row r="34">
      <c r="A34" s="5" t="n"/>
      <c r="B34" s="5" t="n"/>
      <c r="C34" s="5" t="n"/>
      <c r="D34" s="5" t="n"/>
      <c r="E34" s="5" t="n"/>
      <c r="F34" s="5" t="n"/>
      <c r="G34" s="5" t="n"/>
      <c r="H34" s="5" t="n"/>
      <c r="I34" s="5" t="n"/>
      <c r="J34" s="5" t="n"/>
      <c r="K34" s="5" t="n"/>
      <c r="L34" s="5" t="n"/>
      <c r="M34" s="5" t="n"/>
      <c r="N34" s="5" t="n"/>
      <c r="O34" s="5" t="n"/>
      <c r="P34" s="5">
        <f>IF(COUNT(G34:O34)=0,"",SUM(G34:O34))</f>
        <v/>
      </c>
      <c r="Q34" s="5" t="n"/>
      <c r="R34" s="5" t="n"/>
      <c r="S34" s="5" t="n"/>
      <c r="T34" s="5" t="n"/>
      <c r="U34" s="5" t="n"/>
      <c r="V34" s="5" t="n"/>
    </row>
    <row r="35">
      <c r="A35" s="5" t="n"/>
      <c r="B35" s="5" t="n"/>
      <c r="C35" s="5" t="n"/>
      <c r="D35" s="5" t="n"/>
      <c r="E35" s="5" t="n"/>
      <c r="F35" s="5" t="n"/>
      <c r="G35" s="5" t="n"/>
      <c r="H35" s="5" t="n"/>
      <c r="I35" s="5" t="n"/>
      <c r="J35" s="5" t="n"/>
      <c r="K35" s="5" t="n"/>
      <c r="L35" s="5" t="n"/>
      <c r="M35" s="5" t="n"/>
      <c r="N35" s="5" t="n"/>
      <c r="O35" s="5" t="n"/>
      <c r="P35" s="5">
        <f>IF(COUNT(G35:O35)=0,"",SUM(G35:O35))</f>
        <v/>
      </c>
      <c r="Q35" s="5" t="n"/>
      <c r="R35" s="5" t="n"/>
      <c r="S35" s="5" t="n"/>
      <c r="T35" s="5" t="n"/>
      <c r="U35" s="5" t="n"/>
      <c r="V35" s="5" t="n"/>
    </row>
    <row r="36">
      <c r="A36" s="5" t="n"/>
      <c r="B36" s="5" t="n"/>
      <c r="C36" s="5" t="n"/>
      <c r="D36" s="5" t="n"/>
      <c r="E36" s="5" t="n"/>
      <c r="F36" s="5" t="n"/>
      <c r="G36" s="5" t="n"/>
      <c r="H36" s="5" t="n"/>
      <c r="I36" s="5" t="n"/>
      <c r="J36" s="5" t="n"/>
      <c r="K36" s="5" t="n"/>
      <c r="L36" s="5" t="n"/>
      <c r="M36" s="5" t="n"/>
      <c r="N36" s="5" t="n"/>
      <c r="O36" s="5" t="n"/>
      <c r="P36" s="5">
        <f>IF(COUNT(G36:O36)=0,"",SUM(G36:O36))</f>
        <v/>
      </c>
      <c r="Q36" s="5" t="n"/>
      <c r="R36" s="5" t="n"/>
      <c r="S36" s="5" t="n"/>
      <c r="T36" s="5" t="n"/>
      <c r="U36" s="5" t="n"/>
      <c r="V36" s="5" t="n"/>
    </row>
    <row r="37">
      <c r="A37" s="5" t="n"/>
      <c r="B37" s="5" t="n"/>
      <c r="C37" s="5" t="n"/>
      <c r="D37" s="5" t="n"/>
      <c r="E37" s="5" t="n"/>
      <c r="F37" s="5" t="n"/>
      <c r="G37" s="5" t="n"/>
      <c r="H37" s="5" t="n"/>
      <c r="I37" s="5" t="n"/>
      <c r="J37" s="5" t="n"/>
      <c r="K37" s="5" t="n"/>
      <c r="L37" s="5" t="n"/>
      <c r="M37" s="5" t="n"/>
      <c r="N37" s="5" t="n"/>
      <c r="O37" s="5" t="n"/>
      <c r="P37" s="5">
        <f>IF(COUNT(G37:O37)=0,"",SUM(G37:O37))</f>
        <v/>
      </c>
      <c r="Q37" s="5" t="n"/>
      <c r="R37" s="5" t="n"/>
      <c r="S37" s="5" t="n"/>
      <c r="T37" s="5" t="n"/>
      <c r="U37" s="5" t="n"/>
      <c r="V37" s="5" t="n"/>
    </row>
    <row r="38">
      <c r="A38" s="5" t="n"/>
      <c r="B38" s="5" t="n"/>
      <c r="C38" s="5" t="n"/>
      <c r="D38" s="5" t="n"/>
      <c r="E38" s="5" t="n"/>
      <c r="F38" s="5" t="n"/>
      <c r="G38" s="5" t="n"/>
      <c r="H38" s="5" t="n"/>
      <c r="I38" s="5" t="n"/>
      <c r="J38" s="5" t="n"/>
      <c r="K38" s="5" t="n"/>
      <c r="L38" s="5" t="n"/>
      <c r="M38" s="5" t="n"/>
      <c r="N38" s="5" t="n"/>
      <c r="O38" s="5" t="n"/>
      <c r="P38" s="5">
        <f>IF(COUNT(G38:O38)=0,"",SUM(G38:O38))</f>
        <v/>
      </c>
      <c r="Q38" s="5" t="n"/>
      <c r="R38" s="5" t="n"/>
      <c r="S38" s="5" t="n"/>
      <c r="T38" s="5" t="n"/>
      <c r="U38" s="5" t="n"/>
      <c r="V38" s="5" t="n"/>
    </row>
    <row r="39">
      <c r="A39" s="5" t="n"/>
      <c r="B39" s="5" t="n"/>
      <c r="C39" s="5" t="n"/>
      <c r="D39" s="5" t="n"/>
      <c r="E39" s="5" t="n"/>
      <c r="F39" s="5" t="n"/>
      <c r="G39" s="5" t="n"/>
      <c r="H39" s="5" t="n"/>
      <c r="I39" s="5" t="n"/>
      <c r="J39" s="5" t="n"/>
      <c r="K39" s="5" t="n"/>
      <c r="L39" s="5" t="n"/>
      <c r="M39" s="5" t="n"/>
      <c r="N39" s="5" t="n"/>
      <c r="O39" s="5" t="n"/>
      <c r="P39" s="5">
        <f>IF(COUNT(G39:O39)=0,"",SUM(G39:O39))</f>
        <v/>
      </c>
      <c r="Q39" s="5" t="n"/>
      <c r="R39" s="5" t="n"/>
      <c r="S39" s="5" t="n"/>
      <c r="T39" s="5" t="n"/>
      <c r="U39" s="5" t="n"/>
      <c r="V39" s="5" t="n"/>
    </row>
    <row r="40">
      <c r="A40" s="5" t="n"/>
      <c r="B40" s="5" t="n"/>
      <c r="C40" s="5" t="n"/>
      <c r="D40" s="5" t="n"/>
      <c r="E40" s="5" t="n"/>
      <c r="F40" s="5" t="n"/>
      <c r="G40" s="5" t="n"/>
      <c r="H40" s="5" t="n"/>
      <c r="I40" s="5" t="n"/>
      <c r="J40" s="5" t="n"/>
      <c r="K40" s="5" t="n"/>
      <c r="L40" s="5" t="n"/>
      <c r="M40" s="5" t="n"/>
      <c r="N40" s="5" t="n"/>
      <c r="O40" s="5" t="n"/>
      <c r="P40" s="5">
        <f>IF(COUNT(G40:O40)=0,"",SUM(G40:O40))</f>
        <v/>
      </c>
      <c r="Q40" s="5" t="n"/>
      <c r="R40" s="5" t="n"/>
      <c r="S40" s="5" t="n"/>
      <c r="T40" s="5" t="n"/>
      <c r="U40" s="5" t="n"/>
      <c r="V40" s="5" t="n"/>
    </row>
    <row r="41">
      <c r="A41" s="5" t="n"/>
      <c r="B41" s="5" t="n"/>
      <c r="C41" s="5" t="n"/>
      <c r="D41" s="5" t="n"/>
      <c r="E41" s="5" t="n"/>
      <c r="F41" s="5" t="n"/>
      <c r="G41" s="5" t="n"/>
      <c r="H41" s="5" t="n"/>
      <c r="I41" s="5" t="n"/>
      <c r="J41" s="5" t="n"/>
      <c r="K41" s="5" t="n"/>
      <c r="L41" s="5" t="n"/>
      <c r="M41" s="5" t="n"/>
      <c r="N41" s="5" t="n"/>
      <c r="O41" s="5" t="n"/>
      <c r="P41" s="5">
        <f>IF(COUNT(G41:O41)=0,"",SUM(G41:O41))</f>
        <v/>
      </c>
      <c r="Q41" s="5" t="n"/>
      <c r="R41" s="5" t="n"/>
      <c r="S41" s="5" t="n"/>
      <c r="T41" s="5" t="n"/>
      <c r="U41" s="5" t="n"/>
      <c r="V41" s="5" t="n"/>
    </row>
    <row r="42">
      <c r="A42" s="5" t="n"/>
      <c r="B42" s="5" t="n"/>
      <c r="C42" s="5" t="n"/>
      <c r="D42" s="5" t="n"/>
      <c r="E42" s="5" t="n"/>
      <c r="F42" s="5" t="n"/>
      <c r="G42" s="5" t="n"/>
      <c r="H42" s="5" t="n"/>
      <c r="I42" s="5" t="n"/>
      <c r="J42" s="5" t="n"/>
      <c r="K42" s="5" t="n"/>
      <c r="L42" s="5" t="n"/>
      <c r="M42" s="5" t="n"/>
      <c r="N42" s="5" t="n"/>
      <c r="O42" s="5" t="n"/>
      <c r="P42" s="5">
        <f>IF(COUNT(G42:O42)=0,"",SUM(G42:O42))</f>
        <v/>
      </c>
      <c r="Q42" s="5" t="n"/>
      <c r="R42" s="5" t="n"/>
      <c r="S42" s="5" t="n"/>
      <c r="T42" s="5" t="n"/>
      <c r="U42" s="5" t="n"/>
      <c r="V42" s="5" t="n"/>
    </row>
    <row r="43">
      <c r="A43" s="5" t="n"/>
      <c r="B43" s="5" t="n"/>
      <c r="C43" s="5" t="n"/>
      <c r="D43" s="5" t="n"/>
      <c r="E43" s="5" t="n"/>
      <c r="F43" s="5" t="n"/>
      <c r="G43" s="5" t="n"/>
      <c r="H43" s="5" t="n"/>
      <c r="I43" s="5" t="n"/>
      <c r="J43" s="5" t="n"/>
      <c r="K43" s="5" t="n"/>
      <c r="L43" s="5" t="n"/>
      <c r="M43" s="5" t="n"/>
      <c r="N43" s="5" t="n"/>
      <c r="O43" s="5" t="n"/>
      <c r="P43" s="5">
        <f>IF(COUNT(G43:O43)=0,"",SUM(G43:O43))</f>
        <v/>
      </c>
      <c r="Q43" s="5" t="n"/>
      <c r="R43" s="5" t="n"/>
      <c r="S43" s="5" t="n"/>
      <c r="T43" s="5" t="n"/>
      <c r="U43" s="5" t="n"/>
      <c r="V43" s="5" t="n"/>
    </row>
    <row r="44">
      <c r="A44" s="5" t="n"/>
      <c r="B44" s="5" t="n"/>
      <c r="C44" s="5" t="n"/>
      <c r="D44" s="5" t="n"/>
      <c r="E44" s="5" t="n"/>
      <c r="F44" s="5" t="n"/>
      <c r="G44" s="5" t="n"/>
      <c r="H44" s="5" t="n"/>
      <c r="I44" s="5" t="n"/>
      <c r="J44" s="5" t="n"/>
      <c r="K44" s="5" t="n"/>
      <c r="L44" s="5" t="n"/>
      <c r="M44" s="5" t="n"/>
      <c r="N44" s="5" t="n"/>
      <c r="O44" s="5" t="n"/>
      <c r="P44" s="5">
        <f>IF(COUNT(G44:O44)=0,"",SUM(G44:O44))</f>
        <v/>
      </c>
      <c r="Q44" s="5" t="n"/>
      <c r="R44" s="5" t="n"/>
      <c r="S44" s="5" t="n"/>
      <c r="T44" s="5" t="n"/>
      <c r="U44" s="5" t="n"/>
      <c r="V44" s="5" t="n"/>
    </row>
    <row r="45">
      <c r="A45" s="5" t="n"/>
      <c r="B45" s="5" t="n"/>
      <c r="C45" s="5" t="n"/>
      <c r="D45" s="5" t="n"/>
      <c r="E45" s="5" t="n"/>
      <c r="F45" s="5" t="n"/>
      <c r="G45" s="5" t="n"/>
      <c r="H45" s="5" t="n"/>
      <c r="I45" s="5" t="n"/>
      <c r="J45" s="5" t="n"/>
      <c r="K45" s="5" t="n"/>
      <c r="L45" s="5" t="n"/>
      <c r="M45" s="5" t="n"/>
      <c r="N45" s="5" t="n"/>
      <c r="O45" s="5" t="n"/>
      <c r="P45" s="5">
        <f>IF(COUNT(G45:O45)=0,"",SUM(G45:O45))</f>
        <v/>
      </c>
      <c r="Q45" s="5" t="n"/>
      <c r="R45" s="5" t="n"/>
      <c r="S45" s="5" t="n"/>
      <c r="T45" s="5" t="n"/>
      <c r="U45" s="5" t="n"/>
      <c r="V45" s="5" t="n"/>
    </row>
    <row r="46">
      <c r="A46" s="5" t="n"/>
      <c r="B46" s="5" t="n"/>
      <c r="C46" s="5" t="n"/>
      <c r="D46" s="5" t="n"/>
      <c r="E46" s="5" t="n"/>
      <c r="F46" s="5" t="n"/>
      <c r="G46" s="5" t="n"/>
      <c r="H46" s="5" t="n"/>
      <c r="I46" s="5" t="n"/>
      <c r="J46" s="5" t="n"/>
      <c r="K46" s="5" t="n"/>
      <c r="L46" s="5" t="n"/>
      <c r="M46" s="5" t="n"/>
      <c r="N46" s="5" t="n"/>
      <c r="O46" s="5" t="n"/>
      <c r="P46" s="5">
        <f>IF(COUNT(G46:O46)=0,"",SUM(G46:O46))</f>
        <v/>
      </c>
      <c r="Q46" s="5" t="n"/>
      <c r="R46" s="5" t="n"/>
      <c r="S46" s="5" t="n"/>
      <c r="T46" s="5" t="n"/>
      <c r="U46" s="5" t="n"/>
      <c r="V46" s="5" t="n"/>
    </row>
  </sheetData>
  <mergeCells count="5">
    <mergeCell ref="A2:V2"/>
    <mergeCell ref="A5:V5"/>
    <mergeCell ref="A6:V6"/>
    <mergeCell ref="A3:V3"/>
    <mergeCell ref="A4:V4"/>
  </mergeCells>
  <dataValidations count="4">
    <dataValidation sqref="B9:B46" showDropDown="0" showInputMessage="0" showErrorMessage="0" allowBlank="1" type="list" errorStyle="warning">
      <formula1>"Spring 2023,Summer 2023,Fall 2023,Spring 2024,Summer 2024,Fall 2024,Spring 2025,Summer 2025,Fall 2025,Outside window"</formula1>
    </dataValidation>
    <dataValidation sqref="Q9:Q46" showDropDown="0" showInputMessage="0" showErrorMessage="0" allowBlank="1" type="list" errorStyle="warning">
      <formula1>"Yes,No"</formula1>
    </dataValidation>
    <dataValidation sqref="R9:R46" showDropDown="0" showInputMessage="0" showErrorMessage="0" allowBlank="1" type="list" errorStyle="warning">
      <formula1>"Clear,To explain (00-07),Issue - identical work,Issue - identical test cases,Issue - other"</formula1>
    </dataValidation>
    <dataValidation sqref="S9:S46" showDropDown="0" showInputMessage="0" showErrorMessage="0" allowBlank="1" type="list" errorStyle="warning">
      <formula1>"Yes,No"</formula1>
    </dataValidation>
  </dataValidations>
  <pageMargins left="0.75" right="0.75" top="1" bottom="1" header="0.5" footer="0.5"/>
  <pageSetup orientation="landscape" paperSize="9" fitToHeight="0" fitToWidth="1"/>
  <headerFooter>
    <oddHeader/>
    <oddFooter>&amp;C&amp;8 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6" customWidth="1" min="1" max="1"/>
    <col width="10" customWidth="1" min="2" max="2"/>
    <col width="12" customWidth="1" min="3" max="3"/>
    <col width="12" customWidth="1" min="4" max="4"/>
    <col width="11" customWidth="1" min="5" max="5"/>
    <col width="16" customWidth="1" min="6" max="6"/>
    <col width="13" customWidth="1" min="7" max="7"/>
  </cols>
  <sheetData>
    <row r="1">
      <c r="A1" s="6" t="inlineStr">
        <is>
          <t>Criterion and PO attainment (formulas; threshold proposed: 60% of the criterion marks)</t>
        </is>
      </c>
    </row>
    <row r="2">
      <c r="A2" t="inlineStr">
        <is>
          <t>Threshold</t>
        </is>
      </c>
      <c r="B2" s="7" t="n">
        <v>0.6</v>
      </c>
    </row>
    <row r="3">
      <c r="A3" s="4" t="inlineStr">
        <is>
          <t>Criterion</t>
        </is>
      </c>
      <c r="B3" s="4" t="inlineStr">
        <is>
          <t>Max marks</t>
        </is>
      </c>
      <c r="C3" s="4" t="inlineStr">
        <is>
          <t>PO [proposed]</t>
        </is>
      </c>
      <c r="D3" s="4" t="inlineStr">
        <is>
          <t>Students assessed</t>
        </is>
      </c>
      <c r="E3" s="4" t="inlineStr">
        <is>
          <t>Average %</t>
        </is>
      </c>
      <c r="F3" s="4" t="inlineStr">
        <is>
          <t>Students at or above threshold</t>
        </is>
      </c>
      <c r="G3" s="4" t="inlineStr">
        <is>
          <t>Attainment %</t>
        </is>
      </c>
    </row>
    <row r="4">
      <c r="A4" t="inlineStr">
        <is>
          <t>Att. (10)</t>
        </is>
      </c>
      <c r="B4" t="n">
        <v>10</v>
      </c>
      <c r="C4" t="inlineStr">
        <is>
          <t>-</t>
        </is>
      </c>
      <c r="D4">
        <f>COUNT(Marks!G$9:G$46)</f>
        <v/>
      </c>
      <c r="E4" s="7">
        <f>IFERROR(AVERAGE(Marks!G$9:G$46)/B4,"")</f>
        <v/>
      </c>
      <c r="F4">
        <f>COUNTIF(Marks!G$9:G$46,"&gt;="&amp;$B$2*B4)</f>
        <v/>
      </c>
      <c r="G4" s="7">
        <f>IFERROR(F4/D4,"")</f>
        <v/>
      </c>
    </row>
    <row r="5">
      <c r="A5" t="inlineStr">
        <is>
          <t>Tech (5)</t>
        </is>
      </c>
      <c r="B5" t="n">
        <v>5</v>
      </c>
      <c r="C5" t="inlineStr">
        <is>
          <t>a, e</t>
        </is>
      </c>
      <c r="D5">
        <f>COUNT(Marks!H$9:H$46)</f>
        <v/>
      </c>
      <c r="E5" s="7">
        <f>IFERROR(AVERAGE(Marks!H$9:H$46)/B5,"")</f>
        <v/>
      </c>
      <c r="F5">
        <f>COUNTIF(Marks!H$9:H$46,"&gt;="&amp;$B$2*B5)</f>
        <v/>
      </c>
      <c r="G5" s="7">
        <f>IFERROR(F5/D5,"")</f>
        <v/>
      </c>
    </row>
    <row r="6">
      <c r="A6" t="inlineStr">
        <is>
          <t>Quality (5)</t>
        </is>
      </c>
      <c r="B6" t="n">
        <v>5</v>
      </c>
      <c r="C6" t="inlineStr">
        <is>
          <t>e</t>
        </is>
      </c>
      <c r="D6">
        <f>COUNT(Marks!I$9:I$46)</f>
        <v/>
      </c>
      <c r="E6" s="7">
        <f>IFERROR(AVERAGE(Marks!I$9:I$46)/B6,"")</f>
        <v/>
      </c>
      <c r="F6">
        <f>COUNTIF(Marks!I$9:I$46,"&gt;="&amp;$B$2*B6)</f>
        <v/>
      </c>
      <c r="G6" s="7">
        <f>IFERROR(F6/D6,"")</f>
        <v/>
      </c>
    </row>
    <row r="7">
      <c r="A7" t="inlineStr">
        <is>
          <t>Comm. (5)</t>
        </is>
      </c>
      <c r="B7" t="n">
        <v>5</v>
      </c>
      <c r="C7" t="inlineStr">
        <is>
          <t>j</t>
        </is>
      </c>
      <c r="D7">
        <f>COUNT(Marks!J$9:J$46)</f>
        <v/>
      </c>
      <c r="E7" s="7">
        <f>IFERROR(AVERAGE(Marks!J$9:J$46)/B7,"")</f>
        <v/>
      </c>
      <c r="F7">
        <f>COUNTIF(Marks!J$9:J$46,"&gt;="&amp;$B$2*B7)</f>
        <v/>
      </c>
      <c r="G7" s="7">
        <f>IFERROR(F7/D7,"")</f>
        <v/>
      </c>
    </row>
    <row r="8">
      <c r="A8" t="inlineStr">
        <is>
          <t>Prof. (5)</t>
        </is>
      </c>
      <c r="B8" t="n">
        <v>5</v>
      </c>
      <c r="C8" t="inlineStr">
        <is>
          <t>h</t>
        </is>
      </c>
      <c r="D8">
        <f>COUNT(Marks!K$9:K$46)</f>
        <v/>
      </c>
      <c r="E8" s="7">
        <f>IFERROR(AVERAGE(Marks!K$9:K$46)/B8,"")</f>
        <v/>
      </c>
      <c r="F8">
        <f>COUNTIF(Marks!K$9:K$46,"&gt;="&amp;$B$2*B8)</f>
        <v/>
      </c>
      <c r="G8" s="7">
        <f>IFERROR(F8/D8,"")</f>
        <v/>
      </c>
    </row>
    <row r="9">
      <c r="A9" t="inlineStr">
        <is>
          <t>Team (5)</t>
        </is>
      </c>
      <c r="B9" t="n">
        <v>5</v>
      </c>
      <c r="C9" t="inlineStr">
        <is>
          <t>i</t>
        </is>
      </c>
      <c r="D9">
        <f>COUNT(Marks!L$9:L$46)</f>
        <v/>
      </c>
      <c r="E9" s="7">
        <f>IFERROR(AVERAGE(Marks!L$9:L$46)/B9,"")</f>
        <v/>
      </c>
      <c r="F9">
        <f>COUNTIF(Marks!L$9:L$46,"&gt;="&amp;$B$2*B9)</f>
        <v/>
      </c>
      <c r="G9" s="7">
        <f>IFERROR(F9/D9,"")</f>
        <v/>
      </c>
    </row>
    <row r="10">
      <c r="A10" t="inlineStr">
        <is>
          <t>Prob. (5)</t>
        </is>
      </c>
      <c r="B10" t="n">
        <v>5</v>
      </c>
      <c r="C10" t="inlineStr">
        <is>
          <t>b</t>
        </is>
      </c>
      <c r="D10">
        <f>COUNT(Marks!M$9:M$46)</f>
        <v/>
      </c>
      <c r="E10" s="7">
        <f>IFERROR(AVERAGE(Marks!M$9:M$46)/B10,"")</f>
        <v/>
      </c>
      <c r="F10">
        <f>COUNTIF(Marks!M$9:M$46,"&gt;="&amp;$B$2*B10)</f>
        <v/>
      </c>
      <c r="G10" s="7">
        <f>IFERROR(F10/D10,"")</f>
        <v/>
      </c>
    </row>
    <row r="11">
      <c r="A11" t="inlineStr">
        <is>
          <t>Init. (5)</t>
        </is>
      </c>
      <c r="B11" t="n">
        <v>5</v>
      </c>
      <c r="C11" t="inlineStr">
        <is>
          <t>l</t>
        </is>
      </c>
      <c r="D11">
        <f>COUNT(Marks!N$9:N$46)</f>
        <v/>
      </c>
      <c r="E11" s="7">
        <f>IFERROR(AVERAGE(Marks!N$9:N$46)/B11,"")</f>
        <v/>
      </c>
      <c r="F11">
        <f>COUNTIF(Marks!N$9:N$46,"&gt;="&amp;$B$2*B11)</f>
        <v/>
      </c>
      <c r="G11" s="7">
        <f>IFERROR(F11/D11,"")</f>
        <v/>
      </c>
    </row>
    <row r="12">
      <c r="A12" t="inlineStr">
        <is>
          <t>Report (5)</t>
        </is>
      </c>
      <c r="B12" t="n">
        <v>5</v>
      </c>
      <c r="C12" t="inlineStr">
        <is>
          <t>j</t>
        </is>
      </c>
      <c r="D12">
        <f>COUNT(Marks!O$9:O$46)</f>
        <v/>
      </c>
      <c r="E12" s="7">
        <f>IFERROR(AVERAGE(Marks!O$9:O$46)/B12,"")</f>
        <v/>
      </c>
      <c r="F12">
        <f>COUNTIF(Marks!O$9:O$46,"&gt;="&amp;$B$2*B12)</f>
        <v/>
      </c>
      <c r="G12" s="7">
        <f>IFERROR(F12/D12,"")</f>
        <v/>
      </c>
    </row>
    <row r="15">
      <c r="A15" s="8" t="inlineStr">
        <is>
          <t>PO attainment (average of the criteria mapped to each PO)</t>
        </is>
      </c>
    </row>
    <row r="16">
      <c r="A16" t="inlineStr">
        <is>
          <t>PO a</t>
        </is>
      </c>
      <c r="B16" s="7">
        <f>IFERROR(AVERAGEIF($C$4:$C$12,"*a*",$G$4:$G$12),"")</f>
        <v/>
      </c>
    </row>
    <row r="17">
      <c r="A17" t="inlineStr">
        <is>
          <t>PO b</t>
        </is>
      </c>
      <c r="B17" s="7">
        <f>IFERROR(AVERAGEIF($C$4:$C$12,"*b*",$G$4:$G$12),"")</f>
        <v/>
      </c>
    </row>
    <row r="18">
      <c r="A18" t="inlineStr">
        <is>
          <t>PO e</t>
        </is>
      </c>
      <c r="B18" s="7">
        <f>IFERROR(AVERAGEIF($C$4:$C$12,"*e*",$G$4:$G$12),"")</f>
        <v/>
      </c>
    </row>
    <row r="19">
      <c r="A19" t="inlineStr">
        <is>
          <t>PO h</t>
        </is>
      </c>
      <c r="B19" s="7">
        <f>IFERROR(AVERAGEIF($C$4:$C$12,"*h*",$G$4:$G$12),"")</f>
        <v/>
      </c>
    </row>
    <row r="20">
      <c r="A20" t="inlineStr">
        <is>
          <t>PO i</t>
        </is>
      </c>
      <c r="B20" s="7">
        <f>IFERROR(AVERAGEIF($C$4:$C$12,"*i*",$G$4:$G$12),"")</f>
        <v/>
      </c>
    </row>
    <row r="21">
      <c r="A21" t="inlineStr">
        <is>
          <t>PO j</t>
        </is>
      </c>
      <c r="B21" s="7">
        <f>IFERROR(AVERAGEIF($C$4:$C$12,"*j*",$G$4:$G$12),"")</f>
        <v/>
      </c>
    </row>
    <row r="22">
      <c r="A22" t="inlineStr">
        <is>
          <t>PO l</t>
        </is>
      </c>
      <c r="B22" s="7">
        <f>IFERROR(AVERAGEIF($C$4:$C$12,"*l*",$G$4:$G$12),"")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2026-10-18T04:23:33Z</dcterms:created>
  <dcterms:modified xmlns:dcterms="http://purl.org/dc/terms/" xmlns:xsi="http://www.w3.org/2001/XMLSchema-instance" xsi:type="dcterms:W3CDTF">2026-10-18T04:23:33Z</dcterms:modified>
</cp:coreProperties>
</file>